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hama_Innodata\Desktop\Seller Onboarding Intelligence System\"/>
    </mc:Choice>
  </mc:AlternateContent>
  <xr:revisionPtr revIDLastSave="0" documentId="8_{57612B91-D969-42FA-BDA1-DADA999877A7}" xr6:coauthVersionLast="47" xr6:coauthVersionMax="47" xr10:uidLastSave="{00000000-0000-0000-0000-000000000000}"/>
  <bookViews>
    <workbookView xWindow="11424" yWindow="0" windowWidth="11712" windowHeight="12336" xr2:uid="{B988DEDB-F8E6-406F-9EB1-D4CE4DF77854}"/>
  </bookViews>
  <sheets>
    <sheet name="partner readiness score" sheetId="1" r:id="rId1"/>
    <sheet name="Summary" sheetId="2" r:id="rId2"/>
  </sheets>
  <calcPr calcId="0"/>
</workbook>
</file>

<file path=xl/calcChain.xml><?xml version="1.0" encoding="utf-8"?>
<calcChain xmlns="http://schemas.openxmlformats.org/spreadsheetml/2006/main">
  <c r="B5" i="2" l="1"/>
  <c r="B4" i="2"/>
  <c r="B3" i="2"/>
  <c r="B2" i="2"/>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2" i="1"/>
  <c r="S3" i="1"/>
  <c r="W3" i="1" s="1"/>
  <c r="AC3" i="1" s="1"/>
  <c r="S4" i="1"/>
  <c r="W4" i="1" s="1"/>
  <c r="AC4" i="1" s="1"/>
  <c r="S5" i="1"/>
  <c r="W5" i="1" s="1"/>
  <c r="AC5" i="1" s="1"/>
  <c r="S6" i="1"/>
  <c r="W6" i="1" s="1"/>
  <c r="AC6" i="1" s="1"/>
  <c r="S7" i="1"/>
  <c r="W7" i="1" s="1"/>
  <c r="S8" i="1"/>
  <c r="W8" i="1" s="1"/>
  <c r="S9" i="1"/>
  <c r="W9" i="1" s="1"/>
  <c r="S10" i="1"/>
  <c r="W10" i="1" s="1"/>
  <c r="S11" i="1"/>
  <c r="W11" i="1" s="1"/>
  <c r="S12" i="1"/>
  <c r="W12" i="1" s="1"/>
  <c r="AC12" i="1" s="1"/>
  <c r="S13" i="1"/>
  <c r="W13" i="1" s="1"/>
  <c r="S14" i="1"/>
  <c r="W14" i="1" s="1"/>
  <c r="AC14" i="1" s="1"/>
  <c r="S15" i="1"/>
  <c r="W15" i="1" s="1"/>
  <c r="S16" i="1"/>
  <c r="W16" i="1" s="1"/>
  <c r="AC16" i="1" s="1"/>
  <c r="S17" i="1"/>
  <c r="W17" i="1" s="1"/>
  <c r="AC17" i="1" s="1"/>
  <c r="S18" i="1"/>
  <c r="W18" i="1" s="1"/>
  <c r="S19" i="1"/>
  <c r="W19" i="1" s="1"/>
  <c r="AC19" i="1" s="1"/>
  <c r="S20" i="1"/>
  <c r="W20" i="1" s="1"/>
  <c r="AC20" i="1" s="1"/>
  <c r="S21" i="1"/>
  <c r="W21" i="1" s="1"/>
  <c r="S22" i="1"/>
  <c r="W22" i="1" s="1"/>
  <c r="S23" i="1"/>
  <c r="W23" i="1" s="1"/>
  <c r="AC23" i="1" s="1"/>
  <c r="S24" i="1"/>
  <c r="W24" i="1" s="1"/>
  <c r="S25" i="1"/>
  <c r="W25" i="1" s="1"/>
  <c r="AC25" i="1" s="1"/>
  <c r="S26" i="1"/>
  <c r="W26" i="1" s="1"/>
  <c r="AC26" i="1" s="1"/>
  <c r="S27" i="1"/>
  <c r="W27" i="1" s="1"/>
  <c r="AC27" i="1" s="1"/>
  <c r="S28" i="1"/>
  <c r="W28" i="1" s="1"/>
  <c r="AC28" i="1" s="1"/>
  <c r="S29" i="1"/>
  <c r="W29" i="1" s="1"/>
  <c r="S30" i="1"/>
  <c r="W30" i="1" s="1"/>
  <c r="S31" i="1"/>
  <c r="W31" i="1" s="1"/>
  <c r="S32" i="1"/>
  <c r="W32" i="1" s="1"/>
  <c r="S33" i="1"/>
  <c r="W33" i="1" s="1"/>
  <c r="AC33" i="1" s="1"/>
  <c r="S34" i="1"/>
  <c r="W34" i="1" s="1"/>
  <c r="S35" i="1"/>
  <c r="W35" i="1" s="1"/>
  <c r="AC35" i="1" s="1"/>
  <c r="S36" i="1"/>
  <c r="W36" i="1" s="1"/>
  <c r="AC36" i="1" s="1"/>
  <c r="S37" i="1"/>
  <c r="W37" i="1" s="1"/>
  <c r="S38" i="1"/>
  <c r="W38" i="1" s="1"/>
  <c r="AC38" i="1" s="1"/>
  <c r="S39" i="1"/>
  <c r="W39" i="1" s="1"/>
  <c r="AC39" i="1" s="1"/>
  <c r="S40" i="1"/>
  <c r="W40" i="1" s="1"/>
  <c r="AC40" i="1" s="1"/>
  <c r="S41" i="1"/>
  <c r="W41" i="1" s="1"/>
  <c r="S42" i="1"/>
  <c r="W42" i="1" s="1"/>
  <c r="S43" i="1"/>
  <c r="W43" i="1" s="1"/>
  <c r="AC43" i="1" s="1"/>
  <c r="S44" i="1"/>
  <c r="W44" i="1" s="1"/>
  <c r="S45" i="1"/>
  <c r="W45" i="1" s="1"/>
  <c r="AC45" i="1" s="1"/>
  <c r="S46" i="1"/>
  <c r="W46" i="1" s="1"/>
  <c r="AC46" i="1" s="1"/>
  <c r="S47" i="1"/>
  <c r="W47" i="1" s="1"/>
  <c r="AC47" i="1" s="1"/>
  <c r="S48" i="1"/>
  <c r="W48" i="1" s="1"/>
  <c r="AC48" i="1" s="1"/>
  <c r="S49" i="1"/>
  <c r="W49" i="1" s="1"/>
  <c r="AC49" i="1" s="1"/>
  <c r="S50" i="1"/>
  <c r="W50" i="1" s="1"/>
  <c r="AC50" i="1" s="1"/>
  <c r="S51" i="1"/>
  <c r="W51" i="1" s="1"/>
  <c r="S52" i="1"/>
  <c r="W52" i="1" s="1"/>
  <c r="AC52" i="1" s="1"/>
  <c r="S53" i="1"/>
  <c r="W53" i="1" s="1"/>
  <c r="AC53" i="1" s="1"/>
  <c r="S54" i="1"/>
  <c r="W54" i="1" s="1"/>
  <c r="AC54" i="1" s="1"/>
  <c r="S55" i="1"/>
  <c r="W55" i="1" s="1"/>
  <c r="AC55" i="1" s="1"/>
  <c r="S56" i="1"/>
  <c r="W56" i="1" s="1"/>
  <c r="S57" i="1"/>
  <c r="W57" i="1" s="1"/>
  <c r="AC57" i="1" s="1"/>
  <c r="S58" i="1"/>
  <c r="W58" i="1" s="1"/>
  <c r="AC58" i="1" s="1"/>
  <c r="S59" i="1"/>
  <c r="W59" i="1" s="1"/>
  <c r="AC59" i="1" s="1"/>
  <c r="S60" i="1"/>
  <c r="W60" i="1" s="1"/>
  <c r="AC60" i="1" s="1"/>
  <c r="S61" i="1"/>
  <c r="W61" i="1" s="1"/>
  <c r="AC61" i="1" s="1"/>
  <c r="S62" i="1"/>
  <c r="W62" i="1" s="1"/>
  <c r="AC62" i="1" s="1"/>
  <c r="S63" i="1"/>
  <c r="W63" i="1" s="1"/>
  <c r="AC63" i="1" s="1"/>
  <c r="S64" i="1"/>
  <c r="W64" i="1" s="1"/>
  <c r="S65" i="1"/>
  <c r="W65" i="1" s="1"/>
  <c r="AC65" i="1" s="1"/>
  <c r="S66" i="1"/>
  <c r="W66" i="1" s="1"/>
  <c r="AC66" i="1" s="1"/>
  <c r="S67" i="1"/>
  <c r="W67" i="1" s="1"/>
  <c r="AC67" i="1" s="1"/>
  <c r="S68" i="1"/>
  <c r="W68" i="1" s="1"/>
  <c r="S69" i="1"/>
  <c r="W69" i="1" s="1"/>
  <c r="S70" i="1"/>
  <c r="W70" i="1" s="1"/>
  <c r="S71" i="1"/>
  <c r="W71" i="1" s="1"/>
  <c r="AC71" i="1" s="1"/>
  <c r="S72" i="1"/>
  <c r="W72" i="1" s="1"/>
  <c r="AC72" i="1" s="1"/>
  <c r="S73" i="1"/>
  <c r="W73" i="1" s="1"/>
  <c r="S74" i="1"/>
  <c r="W74" i="1" s="1"/>
  <c r="AC74" i="1" s="1"/>
  <c r="S75" i="1"/>
  <c r="W75" i="1" s="1"/>
  <c r="S76" i="1"/>
  <c r="W76" i="1" s="1"/>
  <c r="AC76" i="1" s="1"/>
  <c r="S77" i="1"/>
  <c r="W77" i="1" s="1"/>
  <c r="S78" i="1"/>
  <c r="W78" i="1" s="1"/>
  <c r="AC78" i="1" s="1"/>
  <c r="S79" i="1"/>
  <c r="W79" i="1" s="1"/>
  <c r="S80" i="1"/>
  <c r="W80" i="1" s="1"/>
  <c r="S81" i="1"/>
  <c r="W81" i="1" s="1"/>
  <c r="AC81" i="1" s="1"/>
  <c r="S82" i="1"/>
  <c r="W82" i="1" s="1"/>
  <c r="AC82" i="1" s="1"/>
  <c r="S83" i="1"/>
  <c r="W83" i="1" s="1"/>
  <c r="AC83" i="1" s="1"/>
  <c r="S84" i="1"/>
  <c r="W84" i="1" s="1"/>
  <c r="AC84" i="1" s="1"/>
  <c r="S85" i="1"/>
  <c r="W85" i="1" s="1"/>
  <c r="S86" i="1"/>
  <c r="W86" i="1" s="1"/>
  <c r="AC86" i="1" s="1"/>
  <c r="S87" i="1"/>
  <c r="W87" i="1" s="1"/>
  <c r="AC87" i="1" s="1"/>
  <c r="S88" i="1"/>
  <c r="W88" i="1" s="1"/>
  <c r="S89" i="1"/>
  <c r="W89" i="1" s="1"/>
  <c r="AC89" i="1" s="1"/>
  <c r="S90" i="1"/>
  <c r="W90" i="1" s="1"/>
  <c r="S91" i="1"/>
  <c r="W91" i="1" s="1"/>
  <c r="AC91" i="1" s="1"/>
  <c r="S92" i="1"/>
  <c r="W92" i="1" s="1"/>
  <c r="AC92" i="1" s="1"/>
  <c r="S93" i="1"/>
  <c r="W93" i="1" s="1"/>
  <c r="AC93" i="1" s="1"/>
  <c r="S94" i="1"/>
  <c r="W94" i="1" s="1"/>
  <c r="S95" i="1"/>
  <c r="W95" i="1" s="1"/>
  <c r="S96" i="1"/>
  <c r="W96" i="1" s="1"/>
  <c r="AC96" i="1" s="1"/>
  <c r="S97" i="1"/>
  <c r="W97" i="1" s="1"/>
  <c r="AC97" i="1" s="1"/>
  <c r="S98" i="1"/>
  <c r="W98" i="1" s="1"/>
  <c r="AC98" i="1" s="1"/>
  <c r="S99" i="1"/>
  <c r="W99" i="1" s="1"/>
  <c r="AC99" i="1" s="1"/>
  <c r="S100" i="1"/>
  <c r="W100" i="1" s="1"/>
  <c r="AC100" i="1" s="1"/>
  <c r="S101" i="1"/>
  <c r="W101" i="1" s="1"/>
  <c r="S2" i="1"/>
  <c r="W2" i="1" s="1"/>
  <c r="AB2"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2" i="1"/>
  <c r="AC30" i="1" l="1"/>
  <c r="AC29" i="1"/>
  <c r="AC24" i="1"/>
  <c r="AC22" i="1"/>
  <c r="AC15" i="1"/>
  <c r="AC90" i="1"/>
  <c r="AC70" i="1"/>
  <c r="AC69" i="1"/>
  <c r="AC56" i="1"/>
  <c r="AC88" i="1"/>
  <c r="AC101" i="1"/>
  <c r="AC94" i="1"/>
  <c r="AC68" i="1"/>
  <c r="AC79" i="1"/>
  <c r="AC31" i="1"/>
  <c r="AC18" i="1"/>
  <c r="AC7" i="1"/>
  <c r="AC8" i="1"/>
  <c r="AC2" i="1"/>
  <c r="AC9" i="1"/>
  <c r="AC80" i="1"/>
  <c r="AC95" i="1"/>
  <c r="AC44" i="1"/>
  <c r="AC32" i="1"/>
  <c r="AC34" i="1"/>
  <c r="AC11" i="1"/>
  <c r="AC21" i="1"/>
  <c r="AC85" i="1"/>
  <c r="AC77" i="1"/>
  <c r="AC75" i="1"/>
  <c r="AC73" i="1"/>
  <c r="AC64" i="1"/>
  <c r="AC51" i="1"/>
  <c r="AC37" i="1"/>
  <c r="AC42" i="1"/>
  <c r="AC41" i="1"/>
  <c r="AC13" i="1"/>
  <c r="AC10" i="1"/>
  <c r="AA74" i="1"/>
  <c r="AA42" i="1"/>
  <c r="AA73" i="1"/>
  <c r="AA41" i="1"/>
  <c r="AA98" i="1"/>
  <c r="AA66" i="1"/>
  <c r="AA34" i="1"/>
  <c r="AA90" i="1"/>
  <c r="AA58" i="1"/>
  <c r="AA26" i="1"/>
  <c r="AA65" i="1"/>
  <c r="AA89" i="1"/>
  <c r="AA57" i="1"/>
  <c r="AA18" i="1"/>
  <c r="AA33" i="1"/>
  <c r="AA82" i="1"/>
  <c r="AA50" i="1"/>
  <c r="AA17" i="1"/>
  <c r="AA97" i="1"/>
  <c r="AA81" i="1"/>
  <c r="AA49" i="1"/>
  <c r="AA10" i="1"/>
  <c r="AA9" i="1"/>
  <c r="AA25" i="1"/>
  <c r="AA96" i="1"/>
  <c r="AA88" i="1"/>
  <c r="AA80" i="1"/>
  <c r="AA72" i="1"/>
  <c r="AA64" i="1"/>
  <c r="AA56" i="1"/>
  <c r="AA48" i="1"/>
  <c r="AA40" i="1"/>
  <c r="AA32" i="1"/>
  <c r="AA24" i="1"/>
  <c r="AA16" i="1"/>
  <c r="AA8" i="1"/>
  <c r="AA87" i="1"/>
  <c r="AA71" i="1"/>
  <c r="AA55" i="1"/>
  <c r="AA39" i="1"/>
  <c r="AA23" i="1"/>
  <c r="AA7" i="1"/>
  <c r="AA94" i="1"/>
  <c r="AA86" i="1"/>
  <c r="AA78" i="1"/>
  <c r="AA70" i="1"/>
  <c r="AA62" i="1"/>
  <c r="AA54" i="1"/>
  <c r="AA46" i="1"/>
  <c r="AA38" i="1"/>
  <c r="AA30" i="1"/>
  <c r="AA22" i="1"/>
  <c r="AA14" i="1"/>
  <c r="AA6" i="1"/>
  <c r="AA95" i="1"/>
  <c r="AA79" i="1"/>
  <c r="AA63" i="1"/>
  <c r="AA47" i="1"/>
  <c r="AA31" i="1"/>
  <c r="AA15" i="1"/>
  <c r="AA101" i="1"/>
  <c r="AA93" i="1"/>
  <c r="AA85" i="1"/>
  <c r="AA77" i="1"/>
  <c r="AA69" i="1"/>
  <c r="AA61" i="1"/>
  <c r="AA53" i="1"/>
  <c r="AA45" i="1"/>
  <c r="AA37" i="1"/>
  <c r="AA29" i="1"/>
  <c r="AA21" i="1"/>
  <c r="AA13" i="1"/>
  <c r="AA5" i="1"/>
  <c r="AA100" i="1"/>
  <c r="AA92" i="1"/>
  <c r="AA84" i="1"/>
  <c r="AA76" i="1"/>
  <c r="AA68" i="1"/>
  <c r="AA60" i="1"/>
  <c r="AA52" i="1"/>
  <c r="AA44" i="1"/>
  <c r="AA36" i="1"/>
  <c r="AA28" i="1"/>
  <c r="AA20" i="1"/>
  <c r="AA12" i="1"/>
  <c r="AA4" i="1"/>
  <c r="AA99" i="1"/>
  <c r="AA91" i="1"/>
  <c r="AA83" i="1"/>
  <c r="AA75" i="1"/>
  <c r="AA67" i="1"/>
  <c r="AA59" i="1"/>
  <c r="AA51" i="1"/>
  <c r="AA43" i="1"/>
  <c r="AA35" i="1"/>
  <c r="AA27" i="1"/>
  <c r="AA19" i="1"/>
  <c r="AA11" i="1"/>
  <c r="AA3" i="1"/>
  <c r="AA2" i="1"/>
</calcChain>
</file>

<file path=xl/sharedStrings.xml><?xml version="1.0" encoding="utf-8"?>
<sst xmlns="http://schemas.openxmlformats.org/spreadsheetml/2006/main" count="1386" uniqueCount="1250">
  <si>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</si>
  <si>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</si>
  <si>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</si>
  <si>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</si>
  <si>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</si>
  <si>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</si>
  <si>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</si>
  <si>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</si>
  <si>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</si>
  <si>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</si>
  <si>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</si>
  <si>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</si>
  <si>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</si>
  <si>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</si>
  <si>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</si>
  <si>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</si>
  <si>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Computers&amp;Accessories|Accessories&amp;Peripherals|Cables&amp;Accessories|Cables|USBCables</t>
  </si>
  <si>
    <t>â‚¹399</t>
  </si>
  <si>
    <t>â‚¹1,099</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</si>
  <si>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</si>
  <si>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</si>
  <si>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</si>
  <si>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</si>
  <si>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</si>
  <si>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</si>
  <si>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</si>
  <si>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</si>
  <si>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</si>
  <si>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</si>
  <si>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https://www.amazon.in/Ambrane-Unbreakable-Charging-Braided-Cable/dp/B098NS6PVG/ref=sr_1_2?qid=1672909124&amp;s=electronics&amp;sr=1-2</t>
  </si>
  <si>
    <t>â‚¹1,899</t>
  </si>
  <si>
    <t>â‚¹699</t>
  </si>
  <si>
    <t>B08CF3B7N1</t>
  </si>
  <si>
    <t>Portronics Konnect L 1.2M Fast Charging 3A 8 Pin USB Cable with Charge &amp; Sync Function for iPhone, iPad (Grey)</t>
  </si>
  <si>
    <t>â‚¹154</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</si>
  <si>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</si>
  <si>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</si>
  <si>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</si>
  <si>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</si>
  <si>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</si>
  <si>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â‚¹149</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</si>
  <si>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</si>
  <si>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</si>
  <si>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</si>
  <si>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</si>
  <si>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</si>
  <si>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</si>
  <si>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</si>
  <si>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</si>
  <si>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</si>
  <si>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</si>
  <si>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â‚¹299</t>
  </si>
  <si>
    <t>â‚¹999</t>
  </si>
  <si>
    <t>â‚¹799</t>
  </si>
  <si>
    <t>Electronics|HomeTheater,TV&amp;Video|Accessories|Cables|HDMICables</t>
  </si>
  <si>
    <t>â‚¹219</t>
  </si>
  <si>
    <t>â‚¹700</t>
  </si>
  <si>
    <t>â‚¹899</t>
  </si>
  <si>
    <t>â‚¹159</t>
  </si>
  <si>
    <t>Electronics|HomeTheater,TV&amp;Video|Televisions|SmartTelevisions</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</si>
  <si>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</si>
  <si>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</si>
  <si>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</si>
  <si>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</si>
  <si>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https://www.amazon.in/Ambrane-Unbreakable-Charging-Braided-Cable/dp/B082LSVT4B/ref=sr_1_19?qid=1672909124&amp;s=electronics&amp;sr=1-19</t>
  </si>
  <si>
    <t>â‚¹13,490</t>
  </si>
  <si>
    <t>â‚¹970</t>
  </si>
  <si>
    <t>â‚¹1,799</t>
  </si>
  <si>
    <t>â‚¹279</t>
  </si>
  <si>
    <t>B09F6S8BT6</t>
  </si>
  <si>
    <t>Samsung 80 cm (32 Inches) Wondertainment Series HD Ready LED Smart TV UA32T4340BKXXL (Glossy Black)</t>
  </si>
  <si>
    <t>â‚¹22,900</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</si>
  <si>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</si>
  <si>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</si>
  <si>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</si>
  <si>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</si>
  <si>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</si>
  <si>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</si>
  <si>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</si>
  <si>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</si>
  <si>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</si>
  <si>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</si>
  <si>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</si>
  <si>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</si>
  <si>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</si>
  <si>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</si>
  <si>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</si>
  <si>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</si>
  <si>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</si>
  <si>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</si>
  <si>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</si>
  <si>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â‚¹599</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</si>
  <si>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</si>
  <si>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</si>
  <si>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</si>
  <si>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</si>
  <si>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</si>
  <si>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</si>
  <si>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</si>
  <si>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</si>
  <si>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</si>
  <si>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</si>
  <si>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â‚¹1,900</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</si>
  <si>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</si>
  <si>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</si>
  <si>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</si>
  <si>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</si>
  <si>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</si>
  <si>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B0B3MMYHYW</t>
  </si>
  <si>
    <t>OnePlus 126 cm (50 inches) Y Series 4K Ultra HD Smart Android LED TV 50Y1S Pro (Black)</t>
  </si>
  <si>
    <t>â‚¹32,999</t>
  </si>
  <si>
    <t>â‚¹45,999</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</si>
  <si>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</si>
  <si>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</si>
  <si>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</si>
  <si>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</si>
  <si>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</si>
  <si>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</si>
  <si>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</si>
  <si>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â‚¹34,999</t>
  </si>
  <si>
    <t>â‚¹1,599</t>
  </si>
  <si>
    <t>Electronics|HomeTheater,TV&amp;Video|Accessories|RemoteControls</t>
  </si>
  <si>
    <t>B07232M876</t>
  </si>
  <si>
    <t>Amazonbasics Micro Usb Fast Charging Cable For Android Smartphone,Personal Computer,Printer With Gold Plated Connectors (6 Feet, Black)</t>
  </si>
  <si>
    <t>â‚¹395</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</si>
  <si>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</si>
  <si>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</si>
  <si>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</si>
  <si>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</si>
  <si>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</si>
  <si>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https://www.amazon.in/AmazonBasics-Micro-Charging-Android-Phones/dp/B07232M876/ref=sr_1_53?qid=1672909126&amp;s=electronics&amp;sr=1-53</t>
  </si>
  <si>
    <t>â‚¹1,199</t>
  </si>
  <si>
    <t>â‚¹2,199</t>
  </si>
  <si>
    <t>â‚¹500</t>
  </si>
  <si>
    <t>â‚¹2,100</t>
  </si>
  <si>
    <t>Added Protection: An additional layer of protection has been added to the Lightning and USB ends to improve durability and reduce fraying;</t>
  </si>
  <si>
    <t>â‚¹12,999</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</si>
  <si>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</si>
  <si>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</si>
  <si>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</si>
  <si>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</si>
  <si>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</si>
  <si>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</si>
  <si>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</si>
  <si>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</si>
  <si>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â‚¹1,399</t>
  </si>
  <si>
    <t>â‚¹1,499</t>
  </si>
  <si>
    <t>â‚¹139</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</si>
  <si>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</si>
  <si>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</si>
  <si>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</si>
  <si>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</si>
  <si>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</si>
  <si>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â‚¹2,999</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</si>
  <si>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</si>
  <si>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</si>
  <si>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</si>
  <si>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</si>
  <si>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</si>
  <si>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</si>
  <si>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</si>
  <si>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</si>
  <si>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</si>
  <si>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</si>
  <si>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B0B5ZF3NRK</t>
  </si>
  <si>
    <t>CEDO 65W OnePlus Dash Warp Charge Cable, USB A to Type C Data Sync Fast Charging Cable Compatible with One Plus 3 /3T /5 /5T /6 /6T /7 /7T /7 pro &amp; for All Type C Devices - 1 Meter, Red</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</si>
  <si>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</si>
  <si>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</si>
  <si>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</si>
  <si>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</si>
  <si>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</si>
  <si>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</si>
  <si>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</si>
  <si>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â‚¹3,999</t>
  </si>
  <si>
    <t>â‚¹1,299</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</si>
  <si>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</si>
  <si>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â‚¹449</t>
  </si>
  <si>
    <t>B09TT6BFDX</t>
  </si>
  <si>
    <t>Cotbolt Silicone Protective Case Cover for LG an MR21GA Magic Remote Shockproof for LG Smart TV Remote 2021 Protective Skin Waterproof Anti Lost (Black) (Remote Not Included)</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</si>
  <si>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</si>
  <si>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</si>
  <si>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</si>
  <si>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</si>
  <si>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</si>
  <si>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</si>
  <si>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</si>
  <si>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â‚¹8,499</t>
  </si>
  <si>
    <t>â‚¹20,990</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</si>
  <si>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</si>
  <si>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</si>
  <si>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</si>
  <si>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</si>
  <si>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</si>
  <si>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</si>
  <si>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</si>
  <si>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</si>
  <si>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</si>
  <si>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</si>
  <si>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</si>
  <si>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</si>
  <si>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</si>
  <si>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</si>
  <si>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</si>
  <si>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</si>
  <si>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</si>
  <si>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â‚¹749</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</si>
  <si>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</si>
  <si>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</si>
  <si>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</si>
  <si>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</si>
  <si>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</si>
  <si>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</si>
  <si>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</si>
  <si>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</si>
  <si>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</si>
  <si>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</si>
  <si>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</si>
  <si>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</si>
  <si>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</si>
  <si>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</si>
  <si>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</si>
  <si>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</si>
  <si>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</si>
  <si>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https://www.amazon.in/Ambrane-Charging-480mbps-ABCC-100-Black-Grey/dp/B09CMQRQM6/ref=sr_1_166?qid=1672909131&amp;s=electronics&amp;sr=1-166</t>
  </si>
  <si>
    <t>â‚¹15,490</t>
  </si>
  <si>
    <t>Electronics|HomeTheater,TV&amp;Video|Projectors</t>
  </si>
  <si>
    <t>â‚¹2,499</t>
  </si>
  <si>
    <t>B0B8SRZ5SV</t>
  </si>
  <si>
    <t>AmazonBasics USB C to Lightning Aluminum with Nylon Braided MFi Certified Charging Cable (Grey, 1.2 meter)</t>
  </si>
  <si>
    <t>â‚¹949</t>
  </si>
  <si>
    <t>https://www.amazon.in/AmazonBasics-Lightning-Aluminum-Certified-Charging/dp/B0B8SRZ5SV/ref=sr_1_203?qid=1672909134&amp;s=electronics&amp;sr=1-203</t>
  </si>
  <si>
    <t>â‚¹8,990</t>
  </si>
  <si>
    <t>â‚¹549</t>
  </si>
  <si>
    <t>B00GGGOYEK</t>
  </si>
  <si>
    <t>Storite USB 2.0 A to Mini 5 pin B Cable for External HDDS/Camera/Card Readers 35cm</t>
  </si>
  <si>
    <t>â‚¹259</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</si>
  <si>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</si>
  <si>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</si>
  <si>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</si>
  <si>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</si>
  <si>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</si>
  <si>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https://www.amazon.in/Storite%C2%AE-USB-2-0-Mini-0-88feet/dp/B00GGGOYEK/ref=sr_1_222?qid=1672909135&amp;s=electronics&amp;sr=1-222</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</si>
  <si>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</si>
  <si>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</si>
  <si>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</si>
  <si>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</si>
  <si>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</si>
  <si>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</si>
  <si>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</si>
  <si>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</si>
  <si>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</si>
  <si>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</si>
  <si>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</si>
  <si>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</si>
  <si>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â‚¹235</t>
  </si>
  <si>
    <t>â‚¹1,490</t>
  </si>
  <si>
    <t>â‚¹2,299</t>
  </si>
  <si>
    <t>â‚¹4,999</t>
  </si>
  <si>
    <t>â‚¹798</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</si>
  <si>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</si>
  <si>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</si>
  <si>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</si>
  <si>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</si>
  <si>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https://www.amazon.in/AmazonBasics-USB-Type-C-2-0-Cable/dp/B01GGKZ4NU/ref=sr_1_288?qid=1672909138&amp;s=electronics&amp;sr=1-288</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</si>
  <si>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</si>
  <si>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</si>
  <si>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</si>
  <si>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</si>
  <si>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</si>
  <si>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</si>
  <si>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</si>
  <si>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</si>
  <si>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</si>
  <si>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</si>
  <si>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</si>
  <si>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â‚¹18,999</t>
  </si>
  <si>
    <t>â‚¹650</t>
  </si>
  <si>
    <t>â‚¹1,990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</si>
  <si>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</si>
  <si>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</si>
  <si>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</si>
  <si>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</si>
  <si>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</si>
  <si>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</si>
  <si>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</si>
  <si>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</si>
  <si>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https://www.amazon.in/LS-LAPSTER-Quality-Assured-Biometric/dp/B0B61GCHC1/ref=sr_1_471?qid=1672909147&amp;s=electronics&amp;sr=1-471</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</si>
  <si>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</si>
  <si>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</si>
  <si>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</si>
  <si>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</si>
  <si>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</si>
  <si>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â‚¹1,052</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</si>
  <si>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</si>
  <si>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</si>
  <si>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</si>
  <si>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</si>
  <si>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</si>
  <si>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</si>
  <si>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</si>
  <si>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Electronics|WearableTechnology|SmartWatches</t>
  </si>
  <si>
    <t>â‚¹7,990</t>
  </si>
  <si>
    <t>Electronics|Mobiles&amp;Accessories|Smartphones&amp;BasicMobiles|Smartphones</t>
  </si>
  <si>
    <t>B01DEWVZ2C</t>
  </si>
  <si>
    <t>JBL C100SI Wired In Ear Headphones with Mic, JBL Pure Bass Sound, One Button Multi-function Remote, Angled Buds for Comfort fit (Black)</t>
  </si>
  <si>
    <t>Electronics|Headphones,Earbuds&amp;Accessories|Headphones|In-Ear</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</si>
  <si>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</si>
  <si>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</si>
  <si>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</si>
  <si>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</si>
  <si>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</si>
  <si>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</si>
  <si>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</si>
  <si>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https://www.amazon.in/JBL-C100SI-Ear-Headphones-Black/dp/B01DEWVZ2C/ref=sr_1_16?qid=1672895748&amp;s=electronics&amp;sr=1-16</t>
  </si>
  <si>
    <t>Electronics|Mobiles&amp;Accessories|MobileAccessories|Chargers|WallChargers</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</si>
  <si>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</si>
  <si>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</si>
  <si>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</si>
  <si>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</si>
  <si>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</si>
  <si>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</si>
  <si>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</si>
  <si>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</si>
  <si>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</si>
  <si>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</si>
  <si>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B09GFPVD9Y</t>
  </si>
  <si>
    <t>Redmi 9 Activ (Carbon Black, 4GB RAM, 64GB Storage) | Octa-core Helio G35 | 5000 mAh Battery</t>
  </si>
  <si>
    <t>â‚¹10,999</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</si>
  <si>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</si>
  <si>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</si>
  <si>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</si>
  <si>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</si>
  <si>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</si>
  <si>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</si>
  <si>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</si>
  <si>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</si>
  <si>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</si>
  <si>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â‚¹5,999</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</si>
  <si>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</si>
  <si>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</si>
  <si>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</si>
  <si>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</si>
  <si>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</si>
  <si>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</si>
  <si>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</si>
  <si>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</si>
  <si>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</si>
  <si>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https://www.amazon.in/Noise-ColorFit-Display-Monitoring-Smartwatches/dp/B09PNKXSKF/ref=sr_1_59?qid=1672895762&amp;s=electronics&amp;sr=1-59</t>
  </si>
  <si>
    <t>https://m.media-amazon.com/images/I/31VzNhhqifL._SX300_SY300_QL70_ML2_.jpg</t>
  </si>
  <si>
    <t>https://www.amazon.in/Portronics-Konnect-POR-1080-Charging-Function/dp/B08CF3B7N1/ref=sr_1_62?qid=1672895762&amp;s=electronics&amp;sr=1-62</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</si>
  <si>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</si>
  <si>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</si>
  <si>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</si>
  <si>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</si>
  <si>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</si>
  <si>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</si>
  <si>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</si>
  <si>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</si>
  <si>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</si>
  <si>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</si>
  <si>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Electronics|Mobiles&amp;Accessories|MobileAccessories|Photo&amp;VideoAccessories|SelfieSticks</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</si>
  <si>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</si>
  <si>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</si>
  <si>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</si>
  <si>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</si>
  <si>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</si>
  <si>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</si>
  <si>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</si>
  <si>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</si>
  <si>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</si>
  <si>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</si>
  <si>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</si>
  <si>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Electronics|Mobiles&amp;Accessories|MobileAccessories|Stands</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</si>
  <si>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</si>
  <si>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</si>
  <si>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</si>
  <si>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</si>
  <si>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</si>
  <si>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</si>
  <si>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</si>
  <si>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</si>
  <si>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</si>
  <si>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</si>
  <si>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</si>
  <si>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</si>
  <si>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</si>
  <si>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</si>
  <si>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</si>
  <si>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</si>
  <si>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</si>
  <si>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</si>
  <si>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</si>
  <si>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https://www.amazon.in/Ambrane-Adjustment-Compatibility-Multipurpose-Anti-Skid/dp/B09ZPL5VYM/ref=sr_1_81?qid=1672895770&amp;s=electronics&amp;sr=1-81</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</si>
  <si>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</si>
  <si>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</si>
  <si>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</si>
  <si>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</si>
  <si>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</si>
  <si>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</si>
  <si>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</si>
  <si>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</si>
  <si>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</si>
  <si>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</si>
  <si>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Electronics|Mobiles&amp;Accessories|MobileAccessories|Maintenance,Upkeep&amp;Repairs|ScreenProtectors</t>
  </si>
  <si>
    <t>â‚¹2,899</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</si>
  <si>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</si>
  <si>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</si>
  <si>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</si>
  <si>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</si>
  <si>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</si>
  <si>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â‚¹4,499</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</si>
  <si>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</si>
  <si>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</si>
  <si>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</si>
  <si>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</si>
  <si>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</si>
  <si>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</si>
  <si>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</si>
  <si>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</si>
  <si>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https://www.amazon.in/Redmi-Starburst-Qualcomm%C2%AE-SnapdragonTM-Included/dp/B09QS9X9L8/ref=sr_1_199?qid=1672895806&amp;s=electronics&amp;sr=1-199</t>
  </si>
  <si>
    <t>https://m.media-amazon.com/images/I/4177nw8okbL._SX300_SY300_QL70_ML2_.jpg</t>
  </si>
  <si>
    <t>https://www.amazon.in/Duracell-Lightning-Certified-Braided-Charging/dp/B09W5XR9RT/ref=sr_1_205?qid=1672895806&amp;s=electronics&amp;sr=1-205</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</si>
  <si>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</si>
  <si>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</si>
  <si>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</si>
  <si>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</si>
  <si>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</si>
  <si>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Electronics|Headphones,Earbuds&amp;Accessories|Headphones|On-Ear</t>
  </si>
  <si>
    <t>â‚¹2,400</t>
  </si>
  <si>
    <t>B0BMM7R92G</t>
  </si>
  <si>
    <t>Noise_Colorfit Smart Watch Charger 2 Pin USB Fast Charger Magnetic Charging Cable Adapter (Smart Watch Charger 2 pin)</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</si>
  <si>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</si>
  <si>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</si>
  <si>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</si>
  <si>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</si>
  <si>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</si>
  <si>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</si>
  <si>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</si>
  <si>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</si>
  <si>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</si>
  <si>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</si>
  <si>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</si>
  <si>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</si>
  <si>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</si>
  <si>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</si>
  <si>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https://www.amazon.in/POPIO-Tempered-Protector-Compatible-Installation/dp/B08M66K48D/ref=sr_1_356?qid=1672895850&amp;s=electronics&amp;sr=1-356</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</si>
  <si>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</si>
  <si>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</si>
  <si>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</si>
  <si>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</si>
  <si>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</si>
  <si>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</si>
  <si>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</si>
  <si>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</si>
  <si>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</si>
  <si>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</si>
  <si>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https://www.amazon.in/Sounce-Plated-Headphone-Earphone-Splitter/dp/B08BCKN299/ref=sr_1_375?qid=1672895857&amp;s=electronics&amp;sr=1-375</t>
  </si>
  <si>
    <t>â‚¹150</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</si>
  <si>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</si>
  <si>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</si>
  <si>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</si>
  <si>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</si>
  <si>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</si>
  <si>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</si>
  <si>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</si>
  <si>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</si>
  <si>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Computers&amp;Accessories|Accessories&amp;Peripherals|Keyboards,Mice&amp;InputDevices|Mice</t>
  </si>
  <si>
    <t>Computers&amp;Accessories|Accessories&amp;Peripherals|Keyboards,Mice&amp;InputDevices|GraphicTablets</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</si>
  <si>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</si>
  <si>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</si>
  <si>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</si>
  <si>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</si>
  <si>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</si>
  <si>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</si>
  <si>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</si>
  <si>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</si>
  <si>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</si>
  <si>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</si>
  <si>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</si>
  <si>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</si>
  <si>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</si>
  <si>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</si>
  <si>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</si>
  <si>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</si>
  <si>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</si>
  <si>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</si>
  <si>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</si>
  <si>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</si>
  <si>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</si>
  <si>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</si>
  <si>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</si>
  <si>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</si>
  <si>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</si>
  <si>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</si>
  <si>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</si>
  <si>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</si>
  <si>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</si>
  <si>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https://www.amazon.in/Boya-Omnidirectional-Lavalier-Condenser-Microphone/dp/B076B8G5D8/ref=sr_1_32?qid=1672902996&amp;s=computers&amp;sr=1-32</t>
  </si>
  <si>
    <t>Electronics|GeneralPurposeBatteries&amp;BatteryChargers|DisposableBatteries</t>
  </si>
  <si>
    <t>Computers&amp;Accessories|Accessories&amp;Peripherals|Keyboards,Mice&amp;InputDevices|Keyboard&amp;MouseSets</t>
  </si>
  <si>
    <t>Computers&amp;Accessories|ExternalDevices&amp;DataStorage|ExternalHardDisks</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</si>
  <si>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</si>
  <si>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</si>
  <si>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</si>
  <si>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</si>
  <si>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</si>
  <si>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</si>
  <si>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</si>
  <si>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</si>
  <si>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https://www.amazon.in/Zebronics-Zeb-Companion-107-Wireless-Keyboard/dp/B087FXHB6J/ref=sr_1_48?qid=1672902996&amp;s=computers&amp;sr=1-48</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</si>
  <si>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</si>
  <si>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</si>
  <si>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</si>
  <si>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</si>
  <si>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</si>
  <si>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</si>
  <si>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</si>
  <si>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</si>
  <si>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</si>
  <si>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https://www.amazon.in/Boult-Audio-Lightning-Environmental-Cancellation/dp/B0B31BYXQQ/ref=sr_1_50?qid=1672902997&amp;s=computers&amp;sr=1-50</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</si>
  <si>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</si>
  <si>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</si>
  <si>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</si>
  <si>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</si>
  <si>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</si>
  <si>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</si>
  <si>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</si>
  <si>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</si>
  <si>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</si>
  <si>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</si>
  <si>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https://www.amazon.in/Casio-FX-991ES-Plus-2nd-Scientific-Calculator/dp/B0846D5CBP/ref=sr_1_56?qid=1672902997&amp;s=computers&amp;sr=1-56</t>
  </si>
  <si>
    <t>B08LPJZSSW</t>
  </si>
  <si>
    <t>DIGITEKÂ® (DTR 260 GT) Gorilla Tripod/Mini 33 cm (13 Inch) Tripod for Mobile Phone with Phone Mount &amp; Remote, Flexible Gorilla Stand for DSLR &amp; Action Cameras</t>
  </si>
  <si>
    <t>Electronics|Cameras&amp;Photography|Accessories|Tripods&amp;Monopods|TripodLegs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</si>
  <si>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</si>
  <si>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</si>
  <si>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</si>
  <si>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</si>
  <si>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</si>
  <si>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https://www.amazon.in/DIGITEK%C2%AE-DTR-260-GT-Flexible/dp/B08LPJZSSW/ref=sr_1_59?qid=1672902997&amp;s=computers&amp;sr=1-59</t>
  </si>
  <si>
    <t>â‚¹180</t>
  </si>
  <si>
    <t>https://www.amazon.in/boAt-Micro-USB-Tangle-Free-Transmission/dp/B08WRWPM22/ref=sr_1_78?qid=1672902998&amp;s=computers&amp;sr=1-78</t>
  </si>
  <si>
    <t>Computers&amp;Accessories|NetworkingDevices|Routers</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</si>
  <si>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</si>
  <si>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</si>
  <si>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</si>
  <si>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</si>
  <si>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</si>
  <si>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</si>
  <si>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</si>
  <si>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</si>
  <si>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</si>
  <si>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</si>
  <si>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</si>
  <si>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</si>
  <si>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</si>
  <si>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</si>
  <si>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</si>
  <si>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</si>
  <si>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</si>
  <si>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</si>
  <si>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</si>
  <si>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</si>
  <si>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</si>
  <si>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</si>
  <si>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</si>
  <si>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</si>
  <si>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</si>
  <si>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</si>
  <si>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</si>
  <si>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</si>
  <si>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OfficeProducts|OfficePaperProducts|Paper|Stationery|Notebooks,WritingPads&amp;Diaries|WireboundNotebooks</t>
  </si>
  <si>
    <t>â‚¹157</t>
  </si>
  <si>
    <t>â‚¹160</t>
  </si>
  <si>
    <t>B015ZXUDD0</t>
  </si>
  <si>
    <t>Duracell Rechargeable AA 1300mAh Batteries, 4Pcs</t>
  </si>
  <si>
    <t>Electronics|GeneralPurposeBatteries&amp;BatteryChargers|RechargeableBatteries</t>
  </si>
  <si>
    <t>â‚¹479</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</si>
  <si>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</si>
  <si>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</si>
  <si>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</si>
  <si>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</si>
  <si>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</si>
  <si>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https://www.amazon.in/Duracell-5000174-Rechargeable-Batteries-Green/dp/B015ZXUDD0/ref=sr_1_114?qid=1672903000&amp;s=computers&amp;sr=1-114</t>
  </si>
  <si>
    <t>Computers&amp;Accessories|Accessories&amp;Peripherals|Adapters|USBtoUSBAdapters</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</si>
  <si>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</si>
  <si>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</si>
  <si>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</si>
  <si>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</si>
  <si>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</si>
  <si>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</si>
  <si>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</si>
  <si>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</si>
  <si>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</si>
  <si>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</si>
  <si>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</si>
  <si>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</si>
  <si>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</si>
  <si>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Electronics|Cameras&amp;Photography|SecurityCameras|DomeCameras</t>
  </si>
  <si>
    <t>â‚¹3,299</t>
  </si>
  <si>
    <t>https://m.media-amazon.com/images/I/51q3+E64azL._SX300_SY300_.jpg</t>
  </si>
  <si>
    <t>https://www.amazon.in/Samsung-Inches-Wondertainment-UA32T4340BKXXL-Glossy/dp/B09F6S8BT6/ref=sr_1_150?qid=1672903002&amp;s=computers&amp;sr=1-150</t>
  </si>
  <si>
    <t>B09P18XVW6</t>
  </si>
  <si>
    <t>Noise Pulse Buzz 1.69" Bluetooth Calling Smart Watch with Call Function, 150 Watch Faces, 60 Sports Modes, Spo2 &amp; Heart Rate Monitoring, Calling Smart Watch for Men &amp; Women - Jet Black</t>
  </si>
  <si>
    <t>https://www.amazon.in/Noise-ColorFit-Bluetooth-Monitoring-SmartWatch/dp/B09P18XVW6/ref=sr_1_152?qid=1672903002&amp;s=computers&amp;sr=1-152</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</si>
  <si>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</si>
  <si>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</si>
  <si>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</si>
  <si>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</si>
  <si>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</si>
  <si>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</si>
  <si>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</si>
  <si>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</si>
  <si>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</si>
  <si>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</si>
  <si>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Computers&amp;Accessories|Accessories&amp;Peripherals|USBHubs</t>
  </si>
  <si>
    <t>B00ZRBWPA0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</si>
  <si>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</si>
  <si>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</si>
  <si>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</si>
  <si>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</si>
  <si>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</si>
  <si>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</si>
  <si>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</si>
  <si>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</si>
  <si>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</si>
  <si>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</si>
  <si>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</si>
  <si>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</si>
  <si>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</si>
  <si>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</si>
  <si>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</si>
  <si>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</si>
  <si>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</si>
  <si>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</si>
  <si>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</si>
  <si>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â‚¹1,795</t>
  </si>
  <si>
    <t>â‚¹1,650</t>
  </si>
  <si>
    <t>B016XVRKZM</t>
  </si>
  <si>
    <t>APC Back-UPS BX600C-IN 600VA / 360W, 230V, UPS System, an Ideal Power Backup &amp; Protection for Home Office, Desktop PC &amp; Home Electronics</t>
  </si>
  <si>
    <t>Computers&amp;Accessories|Accessories&amp;Peripherals|UninterruptedPowerSupplies</t>
  </si>
  <si>
    <t>â‚¹4,100</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</si>
  <si>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</si>
  <si>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</si>
  <si>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</si>
  <si>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</si>
  <si>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</si>
  <si>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</si>
  <si>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</si>
  <si>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</si>
  <si>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</si>
  <si>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</si>
  <si>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</si>
  <si>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</si>
  <si>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</si>
  <si>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</si>
  <si>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</si>
  <si>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https://www.amazon.in/Wembley-LCD-Writing-Tablet-8-5/dp/B09P564ZTJ/ref=sr_1_216?qid=1672903005&amp;s=computers&amp;sr=1-216</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</si>
  <si>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</si>
  <si>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</si>
  <si>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</si>
  <si>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</si>
  <si>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</si>
  <si>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</si>
  <si>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</si>
  <si>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</si>
  <si>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</si>
  <si>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</si>
  <si>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</si>
  <si>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</si>
  <si>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</si>
  <si>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</si>
  <si>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</si>
  <si>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</si>
  <si>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</si>
  <si>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</si>
  <si>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</si>
  <si>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</si>
  <si>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</si>
  <si>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</si>
  <si>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</si>
  <si>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</si>
  <si>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</si>
  <si>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</si>
  <si>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</si>
  <si>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</si>
  <si>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</si>
  <si>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https://www.amazon.in/Elements-Portable-External-Drive-Black/dp/B06XDKWLJH/ref=sr_1_256?qid=1672903007&amp;s=computers&amp;sr=1-256</t>
  </si>
  <si>
    <t>https://www.amazon.in/pTron-3-5Amps-Charging-480Mbps-Smartphones/dp/B0B4HJNPV4/ref=sr_1_275?qid=1672903008&amp;s=computers&amp;sr=1-275</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</si>
  <si>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</si>
  <si>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</si>
  <si>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</si>
  <si>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</si>
  <si>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</si>
  <si>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</si>
  <si>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</si>
  <si>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</si>
  <si>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</si>
  <si>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</si>
  <si>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</si>
  <si>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</si>
  <si>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</si>
  <si>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</si>
  <si>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</si>
  <si>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</si>
  <si>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</si>
  <si>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</si>
  <si>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</si>
  <si>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</si>
  <si>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</si>
  <si>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https://www.amazon.in/Ambrane-Unbreakable-Charging-RCT15-Supports/dp/B0BFWGBX61/ref=sr_1_363?qid=1672903013&amp;s=computers&amp;sr=1-363</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</si>
  <si>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</si>
  <si>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</si>
  <si>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</si>
  <si>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</si>
  <si>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</si>
  <si>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</si>
  <si>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</si>
  <si>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</si>
  <si>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</si>
  <si>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</si>
  <si>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</si>
  <si>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</si>
  <si>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</si>
  <si>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</si>
  <si>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</si>
  <si>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</si>
  <si>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</si>
  <si>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</si>
  <si>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</si>
  <si>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</si>
  <si>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</si>
  <si>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</si>
  <si>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</si>
  <si>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</si>
  <si>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</si>
  <si>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</si>
  <si>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</si>
  <si>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</si>
  <si>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</si>
  <si>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https://www.amazon.in/Zinq-Technologies-ZQ-6600-Intercom-Set-top/dp/B08FGNPQ9X/ref=sr_1_383?qid=1672903013&amp;s=computers&amp;sr=1-383</t>
  </si>
  <si>
    <t>Computers&amp;Accessories|Accessories&amp;Peripherals|PCGamingPeripherals|Headsets</t>
  </si>
  <si>
    <t>B09GBBJV72</t>
  </si>
  <si>
    <t>HP 330 Wireless Black Keyboard and Mouse Set with Numeric Keypad, 2.4GHz Wireless Connection and 1600 DPI, USB Receiver, LED Indicators , Black(2V9E6AA)</t>
  </si>
  <si>
    <t>â‚¹1,409</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</si>
  <si>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</si>
  <si>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</si>
  <si>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</si>
  <si>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</si>
  <si>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</si>
  <si>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https://www.amazon.in/HP-330-Wireless-Keyboard-Mouse/dp/B09GBBJV72/ref=sr_1_398?qid=1672903014&amp;s=computers&amp;sr=1-398</t>
  </si>
  <si>
    <t>B088GXTJM3</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</si>
  <si>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</si>
  <si>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</si>
  <si>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</si>
  <si>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</si>
  <si>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</si>
  <si>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</si>
  <si>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</si>
  <si>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https://www.amazon.in/Lightweight-Portable-Aluminum-Photography-DLS-9FEET/dp/B088GXTJM3/ref=sr_1_408?qid=1672903014&amp;s=computers&amp;sr=1-408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</si>
  <si>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</si>
  <si>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</si>
  <si>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</si>
  <si>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</si>
  <si>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</si>
  <si>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</si>
  <si>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</si>
  <si>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</si>
  <si>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</si>
  <si>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</si>
  <si>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B08MWJTST6</t>
  </si>
  <si>
    <t>Tukzer Fully Foldable Tabletop Desktop Tablet Mobile Stand Holder - Angle &amp; Height Adjustable for Desk, Cradle, Dock, Compatible with Smartphones &amp; Tablets (White)</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</si>
  <si>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</si>
  <si>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</si>
  <si>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</si>
  <si>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</si>
  <si>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</si>
  <si>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https://www.amazon.in/Tukzer-Foldable-Adjustable-Compatible-Smartphones/dp/B08MWJTST6/ref=sr_1_442?qid=1672903017&amp;s=computers&amp;sr=1-442</t>
  </si>
  <si>
    <t>B00C3GBCIS</t>
  </si>
  <si>
    <t>GIZGA Club-laptop Neoprene Reversible for 15.6-inches Laptop Sleeve - Black-Red</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</si>
  <si>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</si>
  <si>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</si>
  <si>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</si>
  <si>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</si>
  <si>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</si>
  <si>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https://www.amazon.in/Clublaptop-Reversible-15-6-inch-Laptop-Sleeve/dp/B00C3GBCIS/ref=sr_1_460?qid=1672903018&amp;s=computers&amp;sr=1-460</t>
  </si>
  <si>
    <t>https://m.media-amazon.com/images/I/41fDM4QUfvL._SX300_SY300_QL70_FMwebp_.jpg</t>
  </si>
  <si>
    <t>https://www.amazon.in/WeCool-Reinforced-Function-Bluetooth-Compatible/dp/B0B9BXKBC7/ref=sr_1_484?qid=1672903019&amp;s=computers&amp;sr=1-484</t>
  </si>
  <si>
    <t>Home&amp;Kitchen|Kitchen&amp;HomeAppliances|SmallKitchenAppliances|Kettles&amp;HotWaterDispensers|ElectricKettles</t>
  </si>
  <si>
    <t>Home&amp;Kitchen|Heating,Cooling&amp;AirQuality|RoomHeaters|ElectricHeaters</t>
  </si>
  <si>
    <t>Home&amp;Kitchen|Heating,Cooling&amp;AirQuality|RoomHeaters|FanHeaters</t>
  </si>
  <si>
    <t>Home&amp;Kitchen|Kitchen&amp;HomeAppliances|Vacuum,Cleaning&amp;Ironing|Irons,Steamers&amp;Accessories|LintShavers</t>
  </si>
  <si>
    <t>Home&amp;Kitchen|Kitchen&amp;HomeAppliances|SmallKitchenAppliances|DigitalKitchenScales</t>
  </si>
  <si>
    <t>B01MQZ7J8K</t>
  </si>
  <si>
    <t>Prestige Electric Kettle PKOSS - 1500watts, Steel (1.5Ltr), Black</t>
  </si>
  <si>
    <t>â‚¹1,445</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</si>
  <si>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</si>
  <si>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</si>
  <si>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</si>
  <si>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</si>
  <si>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</si>
  <si>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</si>
  <si>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</si>
  <si>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Home&amp;Kitchen|Kitchen&amp;HomeAppliances|SmallKitchenAppliances|InductionCooktop</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</si>
  <si>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</si>
  <si>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</si>
  <si>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</si>
  <si>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</si>
  <si>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</si>
  <si>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</si>
  <si>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</si>
  <si>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</si>
  <si>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</si>
  <si>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</si>
  <si>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</si>
  <si>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Home&amp;Kitchen|Kitchen&amp;HomeAppliances|SmallKitchenAppliances|MixerGrinders</t>
  </si>
  <si>
    <t>Home&amp;Kitchen|Kitchen&amp;HomeAppliances|SmallKitchenAppliances|Kettles&amp;HotWaterDispensers|Kettle&amp;ToasterSets</t>
  </si>
  <si>
    <t>Home&amp;Kitchen|Heating,Cooling&amp;AirQuality|WaterHeaters&amp;Geysers|StorageWaterHeaters</t>
  </si>
  <si>
    <t>Home&amp;Kitchen|Kitchen&amp;HomeAppliances|SmallKitchenAppliances|DeepFatFryers|AirFryers</t>
  </si>
  <si>
    <t>Home&amp;Kitchen|HomeStorage&amp;Organization|LaundryOrganization|LaundryBaskets</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</si>
  <si>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</si>
  <si>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</si>
  <si>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</si>
  <si>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</si>
  <si>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</si>
  <si>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</si>
  <si>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</si>
  <si>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</si>
  <si>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</si>
  <si>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</si>
  <si>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</si>
  <si>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</si>
  <si>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</si>
  <si>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â‚¹3,595</t>
  </si>
  <si>
    <t>â‚¹5,795</t>
  </si>
  <si>
    <t>Home&amp;Kitchen|Kitchen&amp;HomeAppliances|SmallKitchenAppliances|EggBoilers</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</si>
  <si>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</si>
  <si>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</si>
  <si>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</si>
  <si>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</si>
  <si>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</si>
  <si>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</si>
  <si>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</si>
  <si>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</si>
  <si>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</si>
  <si>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</si>
  <si>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â‚¹3,190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</si>
  <si>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</si>
  <si>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</si>
  <si>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</si>
  <si>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</si>
  <si>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</si>
  <si>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</si>
  <si>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</si>
  <si>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</si>
  <si>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</si>
  <si>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</si>
  <si>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Home&amp;Kitchen|Heating,Cooling&amp;AirQuality|Fans|CeilingFans</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</si>
  <si>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</si>
  <si>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</si>
  <si>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</si>
  <si>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</si>
  <si>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</si>
  <si>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</si>
  <si>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</si>
  <si>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</si>
  <si>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</si>
  <si>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</si>
  <si>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</si>
  <si>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</si>
  <si>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Home&amp;Kitchen|Kitchen&amp;HomeAppliances|SmallKitchenAppliances|Pop-upToasters</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</si>
  <si>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</si>
  <si>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</si>
  <si>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</si>
  <si>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</si>
  <si>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</si>
  <si>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</si>
  <si>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</si>
  <si>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</si>
  <si>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</si>
  <si>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</si>
  <si>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</si>
  <si>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</si>
  <si>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</si>
  <si>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</si>
  <si>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</si>
  <si>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</si>
  <si>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</si>
  <si>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</si>
  <si>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</si>
  <si>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</si>
  <si>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</si>
  <si>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</si>
  <si>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Home&amp;Kitchen|Kitchen&amp;HomeAppliances|Coffee,Tea&amp;Espresso|DripCoffeeMachines</t>
  </si>
  <si>
    <t>Home&amp;Kitchen|Kitchen&amp;HomeAppliances|WaterPurifiers&amp;Accessories|WaterPurifierAccessories</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</si>
  <si>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</si>
  <si>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</si>
  <si>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</si>
  <si>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</si>
  <si>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</si>
  <si>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</si>
  <si>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</si>
  <si>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</si>
  <si>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</si>
  <si>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</si>
  <si>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https://www.amazon.in/HUL-Pureit-Germkill-Classic-Purifier/dp/B00H3H03Q4/ref=sr_1_131?qid=1672923597&amp;s=kitchen&amp;sr=1-131</t>
  </si>
  <si>
    <t>â‚¹9,995</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</si>
  <si>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</si>
  <si>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</si>
  <si>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</si>
  <si>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</si>
  <si>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</si>
  <si>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</si>
  <si>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</si>
  <si>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</si>
  <si>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https://www.amazon.in/MILTON-Smart-Egg-Boiler-Transparent/dp/B08TTRVWKY/ref=sr_1_197?qid=1672923601&amp;s=kitchen&amp;sr=1-197</t>
  </si>
  <si>
    <t>â‚¹664</t>
  </si>
  <si>
    <t>Home&amp;Kitchen|HomeStorage&amp;Organization|LaundryOrganization|IroningAccessories|SprayBottles</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</si>
  <si>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</si>
  <si>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</si>
  <si>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</si>
  <si>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</si>
  <si>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</si>
  <si>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</si>
  <si>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</si>
  <si>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</si>
  <si>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</si>
  <si>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</si>
  <si>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</si>
  <si>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</si>
  <si>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</si>
  <si>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</si>
  <si>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</si>
  <si>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</si>
  <si>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</si>
  <si>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</si>
  <si>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</si>
  <si>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</si>
  <si>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</si>
  <si>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</si>
  <si>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</si>
  <si>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</si>
  <si>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</si>
  <si>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</si>
  <si>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</si>
  <si>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</si>
  <si>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</si>
  <si>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</si>
  <si>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</si>
  <si>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</si>
  <si>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</si>
  <si>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</si>
  <si>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</si>
  <si>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</si>
  <si>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</si>
  <si>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</si>
  <si>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</si>
  <si>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</si>
  <si>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</si>
  <si>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</si>
  <si>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</si>
  <si>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</si>
  <si>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</si>
  <si>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</si>
  <si>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</si>
  <si>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</si>
  <si>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</si>
  <si>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</si>
  <si>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</si>
  <si>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</si>
  <si>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</si>
  <si>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</si>
  <si>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</si>
  <si>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</si>
  <si>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</si>
  <si>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</si>
  <si>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</si>
  <si>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</si>
  <si>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</si>
  <si>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</si>
  <si>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</si>
  <si>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</si>
  <si>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</si>
  <si>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</si>
  <si>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</si>
  <si>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</si>
  <si>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</si>
  <si>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</si>
  <si>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</si>
  <si>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</si>
  <si>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</si>
  <si>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</si>
  <si>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</si>
  <si>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</si>
  <si>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</si>
  <si>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B09N3BFP4M</t>
  </si>
  <si>
    <t>Bajaj New Shakti Neo Plus 15 Litre 4 Star Rated Storage Water Heater (Geyser) with Multiple Safety System, White</t>
  </si>
  <si>
    <t>â‚¹11,500</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</si>
  <si>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</si>
  <si>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</si>
  <si>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</si>
  <si>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</si>
  <si>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</si>
  <si>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https://www.amazon.in/Bajaj-New-Shakti-Neo-Storage/dp/B09N3BFP4M/ref=sr_1_291?qid=1672923606&amp;s=kitchen&amp;sr=1-291</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</si>
  <si>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</si>
  <si>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</si>
  <si>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</si>
  <si>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</si>
  <si>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</si>
  <si>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</si>
  <si>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</si>
  <si>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</si>
  <si>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</si>
  <si>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</si>
  <si>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</si>
  <si>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</si>
  <si>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</si>
  <si>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</si>
  <si>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</si>
  <si>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</si>
  <si>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</si>
  <si>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</si>
  <si>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</si>
  <si>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</si>
  <si>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</si>
  <si>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</si>
  <si>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</si>
  <si>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</si>
  <si>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B0BHYLCL19</t>
  </si>
  <si>
    <t>AVNISH Tap Water Purifier Filter Faucet 6 Layer Carbon Activated Dust Chlorine Remover Water Softener for Drinking Cartridge Alkaline Taps for Kitchen Sink Bathroom Wash Basin (6-Layer Filtration)</t>
  </si>
  <si>
    <t>â‚¹193</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</si>
  <si>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</si>
  <si>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</si>
  <si>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</si>
  <si>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</si>
  <si>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</si>
  <si>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</si>
  <si>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</si>
  <si>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B07Q4NJQC5</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</si>
  <si>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</si>
  <si>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</si>
  <si>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</si>
  <si>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</si>
  <si>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</si>
  <si>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</si>
  <si>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</si>
  <si>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</si>
  <si>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</si>
  <si>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</si>
  <si>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</si>
  <si>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</si>
  <si>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</si>
  <si>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</si>
  <si>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</si>
  <si>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</si>
  <si>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</si>
  <si>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</si>
  <si>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</si>
  <si>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</si>
  <si>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</si>
  <si>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</si>
  <si>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</si>
  <si>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</si>
  <si>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</si>
  <si>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</si>
  <si>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</si>
  <si>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</si>
  <si>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</si>
  <si>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</si>
  <si>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</si>
  <si>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</si>
  <si>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</si>
  <si>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</si>
  <si>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</si>
  <si>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</si>
  <si>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</si>
  <si>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</si>
  <si>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</si>
  <si>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</si>
  <si>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</si>
  <si>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</si>
  <si>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</si>
  <si>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</si>
  <si>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</si>
  <si>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</si>
  <si>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</si>
  <si>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</si>
  <si>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</si>
  <si>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</si>
  <si>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</si>
  <si>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</si>
  <si>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</si>
  <si>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</si>
  <si>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</si>
  <si>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</si>
  <si>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</si>
  <si>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</si>
  <si>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</si>
  <si>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</si>
  <si>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</si>
  <si>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</si>
  <si>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</si>
  <si>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</si>
  <si>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</si>
  <si>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</si>
  <si>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</si>
  <si>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</si>
  <si>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</si>
  <si>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</si>
  <si>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</si>
  <si>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</si>
  <si>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</si>
  <si>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</si>
  <si>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</si>
  <si>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</si>
  <si>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</si>
  <si>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</si>
  <si>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</si>
  <si>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</si>
  <si>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</si>
  <si>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</si>
  <si>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</si>
  <si>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</si>
  <si>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</si>
  <si>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</si>
  <si>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seller_id</t>
  </si>
  <si>
    <t>S001</t>
  </si>
  <si>
    <t>S002</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</si>
  <si>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</si>
  <si>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</si>
  <si>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</si>
  <si>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</si>
  <si>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</si>
  <si>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</si>
  <si>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</si>
  <si>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</si>
  <si>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</si>
  <si>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</si>
  <si>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</si>
  <si>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</si>
  <si>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</si>
  <si>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</si>
  <si>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</si>
  <si>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</si>
  <si>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</si>
  <si>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</si>
  <si>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</si>
  <si>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</si>
  <si>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</si>
  <si>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</si>
  <si>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</si>
  <si>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</si>
  <si>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</si>
  <si>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</si>
  <si>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</si>
  <si>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</si>
  <si>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</si>
  <si>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</si>
  <si>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</si>
  <si>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</si>
  <si>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</si>
  <si>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</si>
  <si>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</si>
  <si>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</si>
  <si>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</si>
  <si>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</si>
  <si>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</si>
  <si>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</si>
  <si>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</si>
  <si>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</si>
  <si>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</si>
  <si>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</si>
  <si>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</si>
  <si>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</si>
  <si>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</si>
  <si>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</si>
  <si>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</si>
  <si>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</si>
  <si>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</si>
  <si>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</si>
  <si>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</si>
  <si>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</si>
  <si>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</si>
  <si>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</si>
  <si>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</si>
  <si>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</si>
  <si>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</si>
  <si>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</si>
  <si>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</si>
  <si>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</si>
  <si>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</si>
  <si>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</si>
  <si>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</si>
  <si>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</si>
  <si>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</si>
  <si>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</si>
  <si>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</si>
  <si>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</si>
  <si>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</si>
  <si>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</si>
  <si>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</si>
  <si>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</si>
  <si>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</si>
  <si>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</si>
  <si>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</si>
  <si>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</si>
  <si>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</si>
  <si>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</si>
  <si>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</si>
  <si>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</si>
  <si>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</si>
  <si>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</si>
  <si>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</si>
  <si>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</si>
  <si>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</si>
  <si>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</si>
  <si>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</si>
  <si>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</si>
  <si>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</si>
  <si>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</si>
  <si>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</si>
  <si>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</si>
  <si>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</si>
  <si>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</si>
  <si>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</si>
  <si>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</si>
  <si>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sla_deadline_days</t>
  </si>
  <si>
    <t>days_to_submit</t>
  </si>
  <si>
    <t>submission_date</t>
  </si>
  <si>
    <t>completeness_score</t>
  </si>
  <si>
    <t>accuracy_score</t>
  </si>
  <si>
    <t>timeliness_score</t>
  </si>
  <si>
    <t>relevancy_score</t>
  </si>
  <si>
    <t>partner_readiness_score</t>
  </si>
  <si>
    <t>action_recommendation</t>
  </si>
  <si>
    <t>Good product</t>
  </si>
  <si>
    <t>Chargeable</t>
  </si>
  <si>
    <t>Number pad</t>
  </si>
  <si>
    <t>Protective cover</t>
  </si>
  <si>
    <t>USB C</t>
  </si>
  <si>
    <t>Light Stand</t>
  </si>
  <si>
    <t>Machine</t>
  </si>
  <si>
    <t>Battery</t>
  </si>
  <si>
    <t>Headphones</t>
  </si>
  <si>
    <t>Action</t>
  </si>
  <si>
    <t>Count</t>
  </si>
  <si>
    <t>Approve</t>
  </si>
  <si>
    <t>Request Revision</t>
  </si>
  <si>
    <t>Escalate to Sr.Analyst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</si>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</sst>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u/>
      <sz val="11"/>
      <color theme="10"/>
      <name val="Calibri"/>
      <family val="2"/>
      <scheme val="minor"/>
    </font>
    <font>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7">
    <xf numFmtId="0" fontId="0" fillId="0" borderId="0" xfId="0"/>
    <xf numFmtId="9" fontId="0" fillId="0" borderId="0" xfId="0" applyNumberFormat="1"/>
    <xf numFmtId="3" fontId="0" fillId="0" borderId="0" xfId="0" applyNumberFormat="1"/>
    <xf numFmtId="0" fontId="0" fillId="0" borderId="0" xfId="0" applyAlignment="1"/>
    <xf numFmtId="14" fontId="0" fillId="0" borderId="0" xfId="0" applyNumberFormat="1"/>
    <xf numFmtId="0" fontId="19" fillId="0" borderId="0" xfId="42"/>
    <xf numFmtId="0" fontId="20"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1A2FA-A56B-4CEB-A85B-8B40C7F444C9}">
  <dimension ref="A1:AD1466"/>
  <sheetViews>
    <sheetView tabSelected="1" workbookViewId="0">
      <selection activeCell="C9" sqref="C9"/>
    </sheetView>
  </sheetViews>
  <sheetFormatPr defaultRowHeight="14.4"/>
  <cols>
    <col min="14" max="14" width="21" customWidth="1"/>
    <col min="16" max="16" width="135.109375" style="3" customWidth="1"/>
    <col min="20" max="20" width="10.5546875" bestFit="1" customWidth="1"/>
  </cols>
  <sheetData>
    <row r="1" spans="1:30">
      <c r="A1" t="s">
        <v>0</v>
      </c>
      <c r="B1" t="s">
        <v>1</v>
      </c>
      <c r="C1" t="s">
        <v>2</v>
      </c>
      <c r="D1" t="s">
        <v>3</v>
      </c>
      <c r="E1" t="s">
        <v>4</v>
      </c>
      <c r="F1" t="s">
        <v>5</v>
      </c>
      <c r="G1" t="s">
        <v>6</v>
      </c>
      <c r="H1" t="s">
        <v>7</v>
      </c>
      <c r="I1" t="s">
        <v>8</v>
      </c>
      <c r="J1" t="s">
        <v>9</v>
      </c>
      <c r="K1" t="s">
        <v>10</v>
      </c>
      <c r="L1" t="s">
        <v>11</v>
      </c>
      <c r="M1" t="s">
        <v>12</v>
      </c>
      <c r="N1" t="s">
        <v>13</v>
      </c>
      <c r="O1" t="s">
        <v>14</v>
      </c>
      <c r="P1" s="3" t="s">
        <v>15</v>
      </c>
      <c r="Q1" s="3" t="s">
        <v>1125</v>
      </c>
      <c r="R1" s="3" t="s">
        <v>1226</v>
      </c>
      <c r="S1" s="3" t="s">
        <v>1227</v>
      </c>
      <c r="T1" s="3" t="s">
        <v>1228</v>
      </c>
      <c r="U1" s="3" t="s">
        <v>1229</v>
      </c>
      <c r="V1" s="3" t="s">
        <v>1230</v>
      </c>
      <c r="W1" s="3" t="s">
        <v>1231</v>
      </c>
      <c r="X1" s="3" t="s">
        <v>1232</v>
      </c>
      <c r="Y1" s="3" t="s">
        <v>1229</v>
      </c>
      <c r="Z1" s="3" t="s">
        <v>1230</v>
      </c>
      <c r="AA1" s="3" t="s">
        <v>1231</v>
      </c>
      <c r="AB1" s="3" t="s">
        <v>1232</v>
      </c>
      <c r="AC1" s="3" t="s">
        <v>1233</v>
      </c>
      <c r="AD1" s="3" t="s">
        <v>1234</v>
      </c>
    </row>
    <row r="2" spans="1:30">
      <c r="A2" t="s">
        <v>343</v>
      </c>
      <c r="B2" t="s">
        <v>344</v>
      </c>
      <c r="C2" t="s">
        <v>300</v>
      </c>
      <c r="D2" t="s">
        <v>84</v>
      </c>
      <c r="E2" t="s">
        <v>345</v>
      </c>
      <c r="F2" s="1">
        <v>0.5</v>
      </c>
      <c r="G2">
        <v>4</v>
      </c>
      <c r="H2" s="2">
        <v>30254</v>
      </c>
      <c r="I2" t="s">
        <v>346</v>
      </c>
      <c r="J2" t="s">
        <v>318</v>
      </c>
      <c r="K2" t="s">
        <v>319</v>
      </c>
      <c r="L2" t="s">
        <v>320</v>
      </c>
      <c r="M2" t="s">
        <v>321</v>
      </c>
      <c r="N2" t="s">
        <v>322</v>
      </c>
      <c r="P2" s="3" t="s">
        <v>347</v>
      </c>
      <c r="Q2" s="3" t="s">
        <v>1126</v>
      </c>
      <c r="R2">
        <v>7</v>
      </c>
      <c r="S2">
        <f ca="1">RANDBETWEEN(1,20)</f>
        <v>2</v>
      </c>
      <c r="T2" s="4">
        <f ca="1">DATE(2024,1,RANDBETWEEN(1,28))</f>
        <v>45296</v>
      </c>
      <c r="U2">
        <f>((LEN(TRIM(B2))&gt;0)+(LEN(TRIM(C2))&gt;0)+(LEN(TRIM(I2))&gt;0)+(LEN(TRIM(O2))&gt;0))*25</f>
        <v>75</v>
      </c>
      <c r="V2">
        <f>IF(LEN(TRIM(O2))&gt;0,50,0)+IF(LEN(TRIM(I2))&gt;100,50,0)</f>
        <v>50</v>
      </c>
      <c r="W2">
        <f ca="1">IF(S2&lt;=R2,100,MAX(0,100-((S2-R2)*10)))</f>
        <v>100</v>
      </c>
      <c r="X2">
        <f>IF(LEN(TRIM(C2))&gt;20,70,40)+IF(H2&gt;=4,30,0)</f>
        <v>100</v>
      </c>
      <c r="Y2">
        <f>((LEN(TRIM(B2))&gt;0)+(LEN(TRIM(C2))&gt;0)+(LEN(TRIM(I2))&gt;0)+(LEN(TRIM(O2))&gt;0))*25</f>
        <v>75</v>
      </c>
      <c r="Z2">
        <f>IF(LEN(TRIM(O2))&gt;0,50,0)+IF(LEN(TRIM(I2))&gt;100,50,0)</f>
        <v>50</v>
      </c>
      <c r="AA2">
        <f ca="1">IF(S2&lt;=R2,100,MAX(0,100-((S2-R2)*10)))</f>
        <v>100</v>
      </c>
      <c r="AB2">
        <f>IF(LEN(TRIM(C2))&gt;20,70,40)+IF(H2&gt;=4,30,0)</f>
        <v>100</v>
      </c>
      <c r="AC2">
        <f ca="1">(U2*0.3)+(V2*0.25)+(W2*0.25)+(X2*0.2)</f>
        <v>80</v>
      </c>
      <c r="AD2" t="str">
        <f>IF(Y2&gt;=80,"Approve",IF(Y2&gt;=65,"Request Revision","Escalate to Sr. Analyst"))</f>
        <v>Request Revision</v>
      </c>
    </row>
    <row r="3" spans="1:30">
      <c r="A3" t="s">
        <v>350</v>
      </c>
      <c r="B3" t="s">
        <v>351</v>
      </c>
      <c r="C3" t="s">
        <v>300</v>
      </c>
      <c r="D3" t="s">
        <v>256</v>
      </c>
      <c r="E3" t="s">
        <v>301</v>
      </c>
      <c r="F3" s="1">
        <v>0.71</v>
      </c>
      <c r="G3">
        <v>4.2</v>
      </c>
      <c r="H3" s="2">
        <v>69622</v>
      </c>
      <c r="I3" t="s">
        <v>352</v>
      </c>
      <c r="J3" t="s">
        <v>353</v>
      </c>
      <c r="K3" t="s">
        <v>354</v>
      </c>
      <c r="L3" t="s">
        <v>355</v>
      </c>
      <c r="M3" t="s">
        <v>356</v>
      </c>
      <c r="N3" t="s">
        <v>357</v>
      </c>
      <c r="O3" t="s">
        <v>358</v>
      </c>
      <c r="P3" s="3" t="s">
        <v>359</v>
      </c>
      <c r="Q3" s="3" t="s">
        <v>1127</v>
      </c>
      <c r="R3">
        <v>7</v>
      </c>
      <c r="S3">
        <f t="shared" ref="S3:S66" ca="1" si="0">RANDBETWEEN(1,20)</f>
        <v>16</v>
      </c>
      <c r="T3" s="4">
        <f t="shared" ref="T3:T66" ca="1" si="1">DATE(2024,1,RANDBETWEEN(1,28))</f>
        <v>45314</v>
      </c>
      <c r="U3">
        <f t="shared" ref="U3:U66" si="2">((LEN(TRIM(B3))&gt;0)+(LEN(TRIM(C3))&gt;0)+(LEN(TRIM(I3))&gt;0)+(LEN(TRIM(O3))&gt;0))*25</f>
        <v>100</v>
      </c>
      <c r="V3">
        <f t="shared" ref="V3:V66" si="3">IF(LEN(TRIM(O3))&gt;0,50,0)+IF(LEN(TRIM(I3))&gt;100,50,0)</f>
        <v>100</v>
      </c>
      <c r="W3">
        <f t="shared" ref="W3:W66" ca="1" si="4">IF(S3&lt;=R3,100,MAX(0,100-((S3-R3)*10)))</f>
        <v>10</v>
      </c>
      <c r="X3">
        <f t="shared" ref="X3:X66" si="5">IF(LEN(TRIM(C3))&gt;20,70,40)+IF(H3&gt;=4,30,0)</f>
        <v>100</v>
      </c>
      <c r="Y3">
        <f t="shared" ref="Y3:Y66" si="6">((LEN(TRIM(B3))&gt;0)+(LEN(TRIM(C3))&gt;0)+(LEN(TRIM(I3))&gt;0)+(LEN(TRIM(O3))&gt;0))*25</f>
        <v>100</v>
      </c>
      <c r="Z3">
        <f t="shared" ref="Z3:Z66" si="7">IF(LEN(TRIM(O3))&gt;0,50,0)+IF(LEN(TRIM(I3))&gt;100,50,0)</f>
        <v>100</v>
      </c>
      <c r="AA3">
        <f t="shared" ref="AA3:AA66" ca="1" si="8">IF(S3&lt;=R3,100,MAX(0,100-((S3-R3)*10)))</f>
        <v>10</v>
      </c>
      <c r="AB3">
        <f t="shared" ref="AB3:AB66" si="9">IF(LEN(TRIM(C3))&gt;20,70,40)+IF(H3&gt;=4,30,0)</f>
        <v>100</v>
      </c>
      <c r="AC3">
        <f t="shared" ref="AC3:AC66" ca="1" si="10">(U3*0.3)+(V3*0.25)+(W3*0.25)+(X3*0.2)</f>
        <v>77.5</v>
      </c>
      <c r="AD3" t="str">
        <f t="shared" ref="AD3:AD66" si="11">IF(Y3&gt;=80,"Approve",IF(Y3&gt;=65,"Request Revision","Escalate to Sr. Analyst"))</f>
        <v>Approve</v>
      </c>
    </row>
    <row r="4" spans="1:30">
      <c r="A4" t="s">
        <v>616</v>
      </c>
      <c r="B4" t="s">
        <v>1242</v>
      </c>
      <c r="C4" t="s">
        <v>498</v>
      </c>
      <c r="D4" t="s">
        <v>58</v>
      </c>
      <c r="E4" t="s">
        <v>540</v>
      </c>
      <c r="F4" s="1">
        <v>0.12</v>
      </c>
      <c r="G4">
        <v>4.3</v>
      </c>
      <c r="H4">
        <v>989</v>
      </c>
      <c r="I4" t="s">
        <v>617</v>
      </c>
      <c r="J4" t="s">
        <v>618</v>
      </c>
      <c r="K4" t="s">
        <v>619</v>
      </c>
      <c r="L4" t="s">
        <v>620</v>
      </c>
      <c r="M4" t="s">
        <v>621</v>
      </c>
      <c r="N4" t="s">
        <v>622</v>
      </c>
      <c r="O4" t="s">
        <v>623</v>
      </c>
      <c r="P4" s="3" t="s">
        <v>624</v>
      </c>
      <c r="Q4" s="3" t="s">
        <v>1128</v>
      </c>
      <c r="R4">
        <v>7</v>
      </c>
      <c r="S4">
        <f t="shared" ca="1" si="0"/>
        <v>18</v>
      </c>
      <c r="T4" s="4">
        <f t="shared" ca="1" si="1"/>
        <v>45317</v>
      </c>
      <c r="U4">
        <f t="shared" si="2"/>
        <v>100</v>
      </c>
      <c r="V4">
        <f t="shared" si="3"/>
        <v>100</v>
      </c>
      <c r="W4">
        <f t="shared" ca="1" si="4"/>
        <v>0</v>
      </c>
      <c r="X4">
        <f t="shared" si="5"/>
        <v>100</v>
      </c>
      <c r="Y4">
        <f t="shared" si="6"/>
        <v>100</v>
      </c>
      <c r="Z4">
        <f t="shared" si="7"/>
        <v>100</v>
      </c>
      <c r="AA4">
        <f t="shared" ca="1" si="8"/>
        <v>0</v>
      </c>
      <c r="AB4">
        <f t="shared" si="9"/>
        <v>100</v>
      </c>
      <c r="AC4">
        <f t="shared" ca="1" si="10"/>
        <v>75</v>
      </c>
      <c r="AD4" t="str">
        <f t="shared" si="11"/>
        <v>Approve</v>
      </c>
    </row>
    <row r="5" spans="1:30">
      <c r="A5" t="s">
        <v>543</v>
      </c>
      <c r="B5" t="s">
        <v>544</v>
      </c>
      <c r="C5" t="s">
        <v>466</v>
      </c>
      <c r="D5" t="s">
        <v>147</v>
      </c>
      <c r="E5" t="s">
        <v>51</v>
      </c>
      <c r="F5" s="1">
        <v>0.54</v>
      </c>
      <c r="G5">
        <v>3.8</v>
      </c>
      <c r="H5" s="2">
        <v>3044</v>
      </c>
      <c r="I5" t="s">
        <v>545</v>
      </c>
      <c r="J5" t="s">
        <v>546</v>
      </c>
      <c r="K5" t="s">
        <v>547</v>
      </c>
      <c r="L5" t="s">
        <v>548</v>
      </c>
      <c r="M5" t="s">
        <v>549</v>
      </c>
      <c r="N5" t="s">
        <v>550</v>
      </c>
      <c r="O5" t="s">
        <v>551</v>
      </c>
      <c r="P5" s="3" t="s">
        <v>552</v>
      </c>
      <c r="Q5" s="3" t="s">
        <v>1129</v>
      </c>
      <c r="R5">
        <v>7</v>
      </c>
      <c r="S5">
        <f t="shared" ca="1" si="0"/>
        <v>14</v>
      </c>
      <c r="T5" s="4">
        <f t="shared" ca="1" si="1"/>
        <v>45293</v>
      </c>
      <c r="U5">
        <f t="shared" si="2"/>
        <v>100</v>
      </c>
      <c r="V5">
        <f t="shared" si="3"/>
        <v>100</v>
      </c>
      <c r="W5">
        <f t="shared" ca="1" si="4"/>
        <v>30</v>
      </c>
      <c r="X5">
        <f t="shared" si="5"/>
        <v>100</v>
      </c>
      <c r="Y5">
        <f t="shared" si="6"/>
        <v>100</v>
      </c>
      <c r="Z5">
        <f t="shared" si="7"/>
        <v>100</v>
      </c>
      <c r="AA5">
        <f t="shared" ca="1" si="8"/>
        <v>30</v>
      </c>
      <c r="AB5">
        <f t="shared" si="9"/>
        <v>100</v>
      </c>
      <c r="AC5">
        <f t="shared" ca="1" si="10"/>
        <v>82.5</v>
      </c>
      <c r="AD5" t="str">
        <f t="shared" si="11"/>
        <v>Approve</v>
      </c>
    </row>
    <row r="6" spans="1:30">
      <c r="A6" t="s">
        <v>468</v>
      </c>
      <c r="B6" t="s">
        <v>469</v>
      </c>
      <c r="C6" t="s">
        <v>470</v>
      </c>
      <c r="D6" t="s">
        <v>22</v>
      </c>
      <c r="E6" t="s">
        <v>146</v>
      </c>
      <c r="F6" s="1">
        <v>0.77</v>
      </c>
      <c r="G6">
        <v>4.3</v>
      </c>
      <c r="H6" s="2">
        <v>24791</v>
      </c>
      <c r="I6" t="s">
        <v>471</v>
      </c>
      <c r="J6" t="s">
        <v>472</v>
      </c>
      <c r="K6" t="s">
        <v>473</v>
      </c>
      <c r="L6" t="s">
        <v>474</v>
      </c>
      <c r="M6" t="s">
        <v>475</v>
      </c>
      <c r="N6" t="s">
        <v>476</v>
      </c>
      <c r="O6" t="s">
        <v>477</v>
      </c>
      <c r="P6" s="3" t="s">
        <v>478</v>
      </c>
      <c r="Q6" s="3" t="s">
        <v>1130</v>
      </c>
      <c r="R6">
        <v>7</v>
      </c>
      <c r="S6">
        <f t="shared" ca="1" si="0"/>
        <v>10</v>
      </c>
      <c r="T6" s="4">
        <f t="shared" ca="1" si="1"/>
        <v>45310</v>
      </c>
      <c r="U6">
        <f t="shared" si="2"/>
        <v>100</v>
      </c>
      <c r="V6">
        <f t="shared" si="3"/>
        <v>100</v>
      </c>
      <c r="W6">
        <f t="shared" ca="1" si="4"/>
        <v>70</v>
      </c>
      <c r="X6">
        <f t="shared" si="5"/>
        <v>100</v>
      </c>
      <c r="Y6">
        <f t="shared" si="6"/>
        <v>100</v>
      </c>
      <c r="Z6">
        <f t="shared" si="7"/>
        <v>100</v>
      </c>
      <c r="AA6">
        <f t="shared" ca="1" si="8"/>
        <v>70</v>
      </c>
      <c r="AB6">
        <f t="shared" si="9"/>
        <v>100</v>
      </c>
      <c r="AC6">
        <f t="shared" ca="1" si="10"/>
        <v>92.5</v>
      </c>
      <c r="AD6" t="str">
        <f t="shared" si="11"/>
        <v>Approve</v>
      </c>
    </row>
    <row r="7" spans="1:30">
      <c r="A7" t="s">
        <v>429</v>
      </c>
      <c r="B7" t="s">
        <v>430</v>
      </c>
      <c r="C7" t="s">
        <v>300</v>
      </c>
      <c r="D7" t="s">
        <v>62</v>
      </c>
      <c r="E7" t="s">
        <v>52</v>
      </c>
      <c r="F7" s="1">
        <v>0.75</v>
      </c>
      <c r="G7">
        <v>4.5</v>
      </c>
      <c r="H7">
        <v>38</v>
      </c>
      <c r="J7" t="s">
        <v>431</v>
      </c>
      <c r="K7" t="s">
        <v>432</v>
      </c>
      <c r="L7" t="s">
        <v>433</v>
      </c>
      <c r="M7" t="s">
        <v>434</v>
      </c>
      <c r="N7" t="s">
        <v>435</v>
      </c>
      <c r="P7" s="3" t="s">
        <v>436</v>
      </c>
      <c r="Q7" s="3" t="s">
        <v>1131</v>
      </c>
      <c r="R7">
        <v>7</v>
      </c>
      <c r="S7">
        <f t="shared" ca="1" si="0"/>
        <v>10</v>
      </c>
      <c r="T7" s="4">
        <f t="shared" ca="1" si="1"/>
        <v>45315</v>
      </c>
      <c r="U7">
        <f t="shared" si="2"/>
        <v>50</v>
      </c>
      <c r="V7">
        <f t="shared" si="3"/>
        <v>0</v>
      </c>
      <c r="W7">
        <f t="shared" ca="1" si="4"/>
        <v>70</v>
      </c>
      <c r="X7">
        <f t="shared" si="5"/>
        <v>100</v>
      </c>
      <c r="Y7">
        <f t="shared" si="6"/>
        <v>50</v>
      </c>
      <c r="Z7">
        <f t="shared" si="7"/>
        <v>0</v>
      </c>
      <c r="AA7">
        <f t="shared" ca="1" si="8"/>
        <v>70</v>
      </c>
      <c r="AB7">
        <f t="shared" si="9"/>
        <v>100</v>
      </c>
      <c r="AC7">
        <f t="shared" ca="1" si="10"/>
        <v>52.5</v>
      </c>
      <c r="AD7" t="str">
        <f t="shared" si="11"/>
        <v>Escalate to Sr. Analyst</v>
      </c>
    </row>
    <row r="8" spans="1:30">
      <c r="A8" t="s">
        <v>259</v>
      </c>
      <c r="B8" t="s">
        <v>260</v>
      </c>
      <c r="C8" t="s">
        <v>16</v>
      </c>
      <c r="D8" t="s">
        <v>232</v>
      </c>
      <c r="E8" t="s">
        <v>261</v>
      </c>
      <c r="F8" s="1">
        <v>0.45</v>
      </c>
      <c r="G8">
        <v>4.2</v>
      </c>
      <c r="H8" s="2">
        <v>29746</v>
      </c>
      <c r="I8" t="s">
        <v>262</v>
      </c>
      <c r="J8" t="s">
        <v>148</v>
      </c>
      <c r="K8" t="s">
        <v>149</v>
      </c>
      <c r="L8" t="s">
        <v>150</v>
      </c>
      <c r="M8" t="s">
        <v>151</v>
      </c>
      <c r="N8" t="s">
        <v>152</v>
      </c>
      <c r="P8" s="3" t="s">
        <v>263</v>
      </c>
      <c r="Q8" s="3" t="s">
        <v>1132</v>
      </c>
      <c r="R8">
        <v>7</v>
      </c>
      <c r="S8">
        <f t="shared" ca="1" si="0"/>
        <v>11</v>
      </c>
      <c r="T8" s="4">
        <f t="shared" ca="1" si="1"/>
        <v>45313</v>
      </c>
      <c r="U8">
        <f t="shared" si="2"/>
        <v>75</v>
      </c>
      <c r="V8">
        <f t="shared" si="3"/>
        <v>50</v>
      </c>
      <c r="W8">
        <f t="shared" ca="1" si="4"/>
        <v>60</v>
      </c>
      <c r="X8">
        <f t="shared" si="5"/>
        <v>100</v>
      </c>
      <c r="Y8">
        <f t="shared" si="6"/>
        <v>75</v>
      </c>
      <c r="Z8">
        <f t="shared" si="7"/>
        <v>50</v>
      </c>
      <c r="AA8">
        <f t="shared" ca="1" si="8"/>
        <v>60</v>
      </c>
      <c r="AB8">
        <f t="shared" si="9"/>
        <v>100</v>
      </c>
      <c r="AC8">
        <f t="shared" ca="1" si="10"/>
        <v>70</v>
      </c>
      <c r="AD8" t="str">
        <f t="shared" si="11"/>
        <v>Request Revision</v>
      </c>
    </row>
    <row r="9" spans="1:30">
      <c r="A9" t="s">
        <v>553</v>
      </c>
      <c r="B9" t="s">
        <v>1243</v>
      </c>
      <c r="C9" t="s">
        <v>427</v>
      </c>
      <c r="D9" t="s">
        <v>131</v>
      </c>
      <c r="E9" t="s">
        <v>226</v>
      </c>
      <c r="F9" s="1">
        <v>0.52</v>
      </c>
      <c r="G9">
        <v>4</v>
      </c>
      <c r="H9" s="2">
        <v>33584</v>
      </c>
      <c r="J9" t="s">
        <v>554</v>
      </c>
      <c r="K9" t="s">
        <v>555</v>
      </c>
      <c r="L9" t="s">
        <v>556</v>
      </c>
      <c r="M9" t="s">
        <v>557</v>
      </c>
      <c r="N9" t="s">
        <v>558</v>
      </c>
      <c r="O9" t="s">
        <v>559</v>
      </c>
      <c r="P9" s="3" t="s">
        <v>560</v>
      </c>
      <c r="Q9" s="3" t="s">
        <v>1133</v>
      </c>
      <c r="R9">
        <v>7</v>
      </c>
      <c r="S9">
        <f t="shared" ca="1" si="0"/>
        <v>11</v>
      </c>
      <c r="T9" s="4">
        <f t="shared" ca="1" si="1"/>
        <v>45314</v>
      </c>
      <c r="U9">
        <f t="shared" si="2"/>
        <v>75</v>
      </c>
      <c r="V9">
        <f t="shared" si="3"/>
        <v>50</v>
      </c>
      <c r="W9">
        <f t="shared" ca="1" si="4"/>
        <v>60</v>
      </c>
      <c r="X9">
        <f t="shared" si="5"/>
        <v>100</v>
      </c>
      <c r="Y9">
        <f t="shared" si="6"/>
        <v>75</v>
      </c>
      <c r="Z9">
        <f t="shared" si="7"/>
        <v>50</v>
      </c>
      <c r="AA9">
        <f t="shared" ca="1" si="8"/>
        <v>60</v>
      </c>
      <c r="AB9">
        <f t="shared" si="9"/>
        <v>100</v>
      </c>
      <c r="AC9">
        <f t="shared" ca="1" si="10"/>
        <v>70</v>
      </c>
      <c r="AD9" t="str">
        <f t="shared" si="11"/>
        <v>Request Revision</v>
      </c>
    </row>
    <row r="10" spans="1:30">
      <c r="A10" t="s">
        <v>770</v>
      </c>
      <c r="B10" t="s">
        <v>771</v>
      </c>
      <c r="C10" t="s">
        <v>372</v>
      </c>
      <c r="D10" t="s">
        <v>68</v>
      </c>
      <c r="E10" t="s">
        <v>174</v>
      </c>
      <c r="F10" s="1">
        <v>0.79</v>
      </c>
      <c r="G10">
        <v>4</v>
      </c>
      <c r="H10" s="2">
        <v>5072</v>
      </c>
      <c r="J10" t="s">
        <v>772</v>
      </c>
      <c r="K10" t="s">
        <v>773</v>
      </c>
      <c r="L10" t="s">
        <v>774</v>
      </c>
      <c r="M10" t="s">
        <v>775</v>
      </c>
      <c r="N10" t="s">
        <v>776</v>
      </c>
      <c r="P10" s="3" t="s">
        <v>777</v>
      </c>
      <c r="Q10" s="3" t="s">
        <v>1134</v>
      </c>
      <c r="R10">
        <v>7</v>
      </c>
      <c r="S10">
        <f t="shared" ca="1" si="0"/>
        <v>5</v>
      </c>
      <c r="T10" s="4">
        <f t="shared" ca="1" si="1"/>
        <v>45300</v>
      </c>
      <c r="U10">
        <f t="shared" si="2"/>
        <v>50</v>
      </c>
      <c r="V10">
        <f t="shared" si="3"/>
        <v>0</v>
      </c>
      <c r="W10">
        <f t="shared" ca="1" si="4"/>
        <v>100</v>
      </c>
      <c r="X10">
        <f t="shared" si="5"/>
        <v>100</v>
      </c>
      <c r="Y10">
        <f t="shared" si="6"/>
        <v>50</v>
      </c>
      <c r="Z10">
        <f t="shared" si="7"/>
        <v>0</v>
      </c>
      <c r="AA10">
        <f t="shared" ca="1" si="8"/>
        <v>100</v>
      </c>
      <c r="AB10">
        <f t="shared" si="9"/>
        <v>100</v>
      </c>
      <c r="AC10">
        <f t="shared" ca="1" si="10"/>
        <v>60</v>
      </c>
      <c r="AD10" t="str">
        <f t="shared" si="11"/>
        <v>Escalate to Sr. Analyst</v>
      </c>
    </row>
    <row r="11" spans="1:30">
      <c r="A11" t="s">
        <v>69</v>
      </c>
      <c r="B11" t="s">
        <v>70</v>
      </c>
      <c r="C11" t="s">
        <v>59</v>
      </c>
      <c r="D11" t="s">
        <v>65</v>
      </c>
      <c r="E11" t="s">
        <v>71</v>
      </c>
      <c r="F11" s="1">
        <v>0.41</v>
      </c>
      <c r="G11">
        <v>4.3</v>
      </c>
      <c r="H11" s="2">
        <v>16299</v>
      </c>
      <c r="I11" t="s">
        <v>1236</v>
      </c>
      <c r="J11" t="s">
        <v>72</v>
      </c>
      <c r="K11" t="s">
        <v>73</v>
      </c>
      <c r="L11" t="s">
        <v>74</v>
      </c>
      <c r="M11" t="s">
        <v>75</v>
      </c>
      <c r="N11" t="s">
        <v>76</v>
      </c>
      <c r="O11" t="s">
        <v>600</v>
      </c>
      <c r="P11" s="3" t="s">
        <v>601</v>
      </c>
      <c r="Q11" s="3" t="s">
        <v>1135</v>
      </c>
      <c r="R11">
        <v>7</v>
      </c>
      <c r="S11">
        <f t="shared" ca="1" si="0"/>
        <v>11</v>
      </c>
      <c r="T11" s="4">
        <f t="shared" ca="1" si="1"/>
        <v>45308</v>
      </c>
      <c r="U11">
        <f t="shared" si="2"/>
        <v>100</v>
      </c>
      <c r="V11">
        <f t="shared" si="3"/>
        <v>50</v>
      </c>
      <c r="W11">
        <f t="shared" ca="1" si="4"/>
        <v>60</v>
      </c>
      <c r="X11">
        <f t="shared" si="5"/>
        <v>100</v>
      </c>
      <c r="Y11">
        <f t="shared" si="6"/>
        <v>100</v>
      </c>
      <c r="Z11">
        <f t="shared" si="7"/>
        <v>50</v>
      </c>
      <c r="AA11">
        <f t="shared" ca="1" si="8"/>
        <v>60</v>
      </c>
      <c r="AB11">
        <f t="shared" si="9"/>
        <v>100</v>
      </c>
      <c r="AC11">
        <f t="shared" ca="1" si="10"/>
        <v>77.5</v>
      </c>
      <c r="AD11" t="str">
        <f t="shared" si="11"/>
        <v>Approve</v>
      </c>
    </row>
    <row r="12" spans="1:30">
      <c r="A12" t="s">
        <v>1059</v>
      </c>
      <c r="B12" t="s">
        <v>1060</v>
      </c>
      <c r="C12" t="s">
        <v>791</v>
      </c>
      <c r="D12" t="s">
        <v>68</v>
      </c>
      <c r="E12" t="s">
        <v>91</v>
      </c>
      <c r="F12" s="1">
        <v>0.53</v>
      </c>
      <c r="G12">
        <v>3.5</v>
      </c>
      <c r="H12" s="2">
        <v>1367</v>
      </c>
      <c r="I12" t="s">
        <v>1061</v>
      </c>
      <c r="J12" t="s">
        <v>1062</v>
      </c>
      <c r="K12" t="s">
        <v>1063</v>
      </c>
      <c r="L12" t="s">
        <v>1064</v>
      </c>
      <c r="M12" t="s">
        <v>1065</v>
      </c>
      <c r="N12" t="s">
        <v>1066</v>
      </c>
      <c r="O12" t="s">
        <v>1067</v>
      </c>
      <c r="P12" s="3" t="s">
        <v>1068</v>
      </c>
      <c r="Q12" s="3" t="s">
        <v>1136</v>
      </c>
      <c r="R12">
        <v>7</v>
      </c>
      <c r="S12">
        <f t="shared" ca="1" si="0"/>
        <v>6</v>
      </c>
      <c r="T12" s="4">
        <f t="shared" ca="1" si="1"/>
        <v>45314</v>
      </c>
      <c r="U12">
        <f t="shared" si="2"/>
        <v>100</v>
      </c>
      <c r="V12">
        <f t="shared" si="3"/>
        <v>100</v>
      </c>
      <c r="W12">
        <f t="shared" ca="1" si="4"/>
        <v>100</v>
      </c>
      <c r="X12">
        <f t="shared" si="5"/>
        <v>100</v>
      </c>
      <c r="Y12">
        <f t="shared" si="6"/>
        <v>100</v>
      </c>
      <c r="Z12">
        <f t="shared" si="7"/>
        <v>100</v>
      </c>
      <c r="AA12">
        <f t="shared" ca="1" si="8"/>
        <v>100</v>
      </c>
      <c r="AB12">
        <f t="shared" si="9"/>
        <v>100</v>
      </c>
      <c r="AC12">
        <f t="shared" ca="1" si="10"/>
        <v>100</v>
      </c>
      <c r="AD12" t="str">
        <f t="shared" si="11"/>
        <v>Approve</v>
      </c>
    </row>
    <row r="13" spans="1:30">
      <c r="A13" t="s">
        <v>303</v>
      </c>
      <c r="B13" t="s">
        <v>304</v>
      </c>
      <c r="C13" t="s">
        <v>305</v>
      </c>
      <c r="D13" t="s">
        <v>91</v>
      </c>
      <c r="E13" t="s">
        <v>52</v>
      </c>
      <c r="F13" s="1">
        <v>0.4</v>
      </c>
      <c r="G13">
        <v>4.0999999999999996</v>
      </c>
      <c r="H13" t="s">
        <v>306</v>
      </c>
      <c r="I13" t="s">
        <v>307</v>
      </c>
      <c r="J13" t="s">
        <v>308</v>
      </c>
      <c r="K13" t="s">
        <v>309</v>
      </c>
      <c r="L13" t="s">
        <v>310</v>
      </c>
      <c r="M13" t="s">
        <v>311</v>
      </c>
      <c r="N13" t="s">
        <v>312</v>
      </c>
      <c r="P13" s="3" t="s">
        <v>313</v>
      </c>
      <c r="Q13" s="3" t="s">
        <v>1137</v>
      </c>
      <c r="R13">
        <v>7</v>
      </c>
      <c r="S13">
        <f t="shared" ca="1" si="0"/>
        <v>18</v>
      </c>
      <c r="T13" s="4">
        <f t="shared" ca="1" si="1"/>
        <v>45306</v>
      </c>
      <c r="U13">
        <f t="shared" si="2"/>
        <v>75</v>
      </c>
      <c r="V13">
        <f t="shared" si="3"/>
        <v>50</v>
      </c>
      <c r="W13">
        <f t="shared" ca="1" si="4"/>
        <v>0</v>
      </c>
      <c r="X13">
        <f t="shared" si="5"/>
        <v>100</v>
      </c>
      <c r="Y13">
        <f t="shared" si="6"/>
        <v>75</v>
      </c>
      <c r="Z13">
        <f t="shared" si="7"/>
        <v>50</v>
      </c>
      <c r="AA13">
        <f t="shared" ca="1" si="8"/>
        <v>0</v>
      </c>
      <c r="AB13">
        <f t="shared" si="9"/>
        <v>100</v>
      </c>
      <c r="AC13">
        <f t="shared" ca="1" si="10"/>
        <v>55</v>
      </c>
      <c r="AD13" t="str">
        <f t="shared" si="11"/>
        <v>Request Revision</v>
      </c>
    </row>
    <row r="14" spans="1:30">
      <c r="A14" t="s">
        <v>883</v>
      </c>
      <c r="B14" t="s">
        <v>884</v>
      </c>
      <c r="C14" t="s">
        <v>870</v>
      </c>
      <c r="D14" t="s">
        <v>18</v>
      </c>
      <c r="E14" t="s">
        <v>636</v>
      </c>
      <c r="F14" s="1">
        <v>0.39</v>
      </c>
      <c r="G14">
        <v>4.2</v>
      </c>
      <c r="H14" s="2">
        <v>4244</v>
      </c>
      <c r="I14" t="s">
        <v>885</v>
      </c>
      <c r="J14" t="s">
        <v>886</v>
      </c>
      <c r="K14" t="s">
        <v>887</v>
      </c>
      <c r="L14" t="s">
        <v>888</v>
      </c>
      <c r="M14" t="s">
        <v>889</v>
      </c>
      <c r="N14" t="s">
        <v>890</v>
      </c>
      <c r="O14" t="s">
        <v>891</v>
      </c>
      <c r="P14" s="3" t="s">
        <v>892</v>
      </c>
      <c r="Q14" s="3" t="s">
        <v>1138</v>
      </c>
      <c r="R14">
        <v>7</v>
      </c>
      <c r="S14">
        <f t="shared" ca="1" si="0"/>
        <v>19</v>
      </c>
      <c r="T14" s="4">
        <f t="shared" ca="1" si="1"/>
        <v>45296</v>
      </c>
      <c r="U14">
        <f t="shared" si="2"/>
        <v>100</v>
      </c>
      <c r="V14">
        <f t="shared" si="3"/>
        <v>100</v>
      </c>
      <c r="W14">
        <f t="shared" ca="1" si="4"/>
        <v>0</v>
      </c>
      <c r="X14">
        <f t="shared" si="5"/>
        <v>100</v>
      </c>
      <c r="Y14">
        <f t="shared" si="6"/>
        <v>100</v>
      </c>
      <c r="Z14">
        <f t="shared" si="7"/>
        <v>100</v>
      </c>
      <c r="AA14">
        <f t="shared" ca="1" si="8"/>
        <v>0</v>
      </c>
      <c r="AB14">
        <f t="shared" si="9"/>
        <v>100</v>
      </c>
      <c r="AC14">
        <f t="shared" ca="1" si="10"/>
        <v>75</v>
      </c>
      <c r="AD14" t="str">
        <f t="shared" si="11"/>
        <v>Approve</v>
      </c>
    </row>
    <row r="15" spans="1:30">
      <c r="A15" t="s">
        <v>108</v>
      </c>
      <c r="B15" t="s">
        <v>109</v>
      </c>
      <c r="C15" t="s">
        <v>59</v>
      </c>
      <c r="D15" t="s">
        <v>110</v>
      </c>
      <c r="E15" t="s">
        <v>111</v>
      </c>
      <c r="F15" s="1">
        <v>0.28000000000000003</v>
      </c>
      <c r="G15">
        <v>4.2</v>
      </c>
      <c r="H15" s="2">
        <v>7298</v>
      </c>
      <c r="J15" t="s">
        <v>112</v>
      </c>
      <c r="K15" t="s">
        <v>113</v>
      </c>
      <c r="L15" t="s">
        <v>114</v>
      </c>
      <c r="M15" t="s">
        <v>115</v>
      </c>
      <c r="N15" t="s">
        <v>116</v>
      </c>
      <c r="O15" t="s">
        <v>117</v>
      </c>
      <c r="P15" s="3" t="s">
        <v>118</v>
      </c>
      <c r="Q15" s="3" t="s">
        <v>1139</v>
      </c>
      <c r="R15">
        <v>7</v>
      </c>
      <c r="S15">
        <f t="shared" ca="1" si="0"/>
        <v>15</v>
      </c>
      <c r="T15" s="4">
        <f t="shared" ca="1" si="1"/>
        <v>45297</v>
      </c>
      <c r="U15">
        <f t="shared" si="2"/>
        <v>75</v>
      </c>
      <c r="V15">
        <f t="shared" si="3"/>
        <v>50</v>
      </c>
      <c r="W15">
        <f t="shared" ca="1" si="4"/>
        <v>20</v>
      </c>
      <c r="X15">
        <f t="shared" si="5"/>
        <v>100</v>
      </c>
      <c r="Y15">
        <f t="shared" si="6"/>
        <v>75</v>
      </c>
      <c r="Z15">
        <f t="shared" si="7"/>
        <v>50</v>
      </c>
      <c r="AA15">
        <f t="shared" ca="1" si="8"/>
        <v>20</v>
      </c>
      <c r="AB15">
        <f t="shared" si="9"/>
        <v>100</v>
      </c>
      <c r="AC15">
        <f t="shared" ca="1" si="10"/>
        <v>60</v>
      </c>
      <c r="AD15" t="str">
        <f t="shared" si="11"/>
        <v>Request Revision</v>
      </c>
    </row>
    <row r="16" spans="1:30">
      <c r="A16" t="s">
        <v>315</v>
      </c>
      <c r="B16" t="s">
        <v>316</v>
      </c>
      <c r="C16" t="s">
        <v>300</v>
      </c>
      <c r="D16" t="s">
        <v>120</v>
      </c>
      <c r="E16" t="s">
        <v>173</v>
      </c>
      <c r="F16" s="1">
        <v>0.6</v>
      </c>
      <c r="G16">
        <v>4</v>
      </c>
      <c r="H16" s="2">
        <v>30254</v>
      </c>
      <c r="I16" t="s">
        <v>317</v>
      </c>
      <c r="J16" t="s">
        <v>318</v>
      </c>
      <c r="K16" t="s">
        <v>319</v>
      </c>
      <c r="L16" t="s">
        <v>320</v>
      </c>
      <c r="M16" t="s">
        <v>321</v>
      </c>
      <c r="N16" t="s">
        <v>322</v>
      </c>
      <c r="O16" t="s">
        <v>323</v>
      </c>
      <c r="P16" s="3" t="s">
        <v>324</v>
      </c>
      <c r="Q16" s="3" t="s">
        <v>1140</v>
      </c>
      <c r="R16">
        <v>7</v>
      </c>
      <c r="S16">
        <f t="shared" ca="1" si="0"/>
        <v>20</v>
      </c>
      <c r="T16" s="4">
        <f t="shared" ca="1" si="1"/>
        <v>45315</v>
      </c>
      <c r="U16">
        <f t="shared" si="2"/>
        <v>100</v>
      </c>
      <c r="V16">
        <f t="shared" si="3"/>
        <v>100</v>
      </c>
      <c r="W16">
        <f t="shared" ca="1" si="4"/>
        <v>0</v>
      </c>
      <c r="X16">
        <f t="shared" si="5"/>
        <v>100</v>
      </c>
      <c r="Y16">
        <f t="shared" si="6"/>
        <v>100</v>
      </c>
      <c r="Z16">
        <f t="shared" si="7"/>
        <v>100</v>
      </c>
      <c r="AA16">
        <f t="shared" ca="1" si="8"/>
        <v>0</v>
      </c>
      <c r="AB16">
        <f t="shared" si="9"/>
        <v>100</v>
      </c>
      <c r="AC16">
        <f t="shared" ca="1" si="10"/>
        <v>75</v>
      </c>
      <c r="AD16" t="str">
        <f t="shared" si="11"/>
        <v>Approve</v>
      </c>
    </row>
    <row r="17" spans="1:30">
      <c r="A17" t="s">
        <v>422</v>
      </c>
      <c r="B17" t="s">
        <v>423</v>
      </c>
      <c r="C17" t="s">
        <v>300</v>
      </c>
      <c r="D17" t="s">
        <v>226</v>
      </c>
      <c r="E17" t="s">
        <v>301</v>
      </c>
      <c r="F17" s="1">
        <v>0.69</v>
      </c>
      <c r="G17">
        <v>4.0999999999999996</v>
      </c>
      <c r="H17">
        <v>154</v>
      </c>
      <c r="I17" t="s">
        <v>424</v>
      </c>
      <c r="J17" t="s">
        <v>405</v>
      </c>
      <c r="K17" t="s">
        <v>406</v>
      </c>
      <c r="L17" t="s">
        <v>407</v>
      </c>
      <c r="M17" t="s">
        <v>408</v>
      </c>
      <c r="N17" t="s">
        <v>409</v>
      </c>
      <c r="O17" t="s">
        <v>425</v>
      </c>
      <c r="P17" s="3" t="s">
        <v>426</v>
      </c>
      <c r="Q17" s="3" t="s">
        <v>1141</v>
      </c>
      <c r="R17">
        <v>7</v>
      </c>
      <c r="S17">
        <f t="shared" ca="1" si="0"/>
        <v>10</v>
      </c>
      <c r="T17" s="4">
        <f t="shared" ca="1" si="1"/>
        <v>45297</v>
      </c>
      <c r="U17">
        <f t="shared" si="2"/>
        <v>100</v>
      </c>
      <c r="V17">
        <f t="shared" si="3"/>
        <v>100</v>
      </c>
      <c r="W17">
        <f t="shared" ca="1" si="4"/>
        <v>70</v>
      </c>
      <c r="X17">
        <f t="shared" si="5"/>
        <v>100</v>
      </c>
      <c r="Y17">
        <f t="shared" si="6"/>
        <v>100</v>
      </c>
      <c r="Z17">
        <f t="shared" si="7"/>
        <v>100</v>
      </c>
      <c r="AA17">
        <f t="shared" ca="1" si="8"/>
        <v>70</v>
      </c>
      <c r="AB17">
        <f t="shared" si="9"/>
        <v>100</v>
      </c>
      <c r="AC17">
        <f t="shared" ca="1" si="10"/>
        <v>92.5</v>
      </c>
      <c r="AD17" t="str">
        <f t="shared" si="11"/>
        <v>Approve</v>
      </c>
    </row>
    <row r="18" spans="1:30">
      <c r="A18" t="s">
        <v>41</v>
      </c>
      <c r="B18" t="s">
        <v>42</v>
      </c>
      <c r="C18" t="s">
        <v>16</v>
      </c>
      <c r="D18" t="s">
        <v>43</v>
      </c>
      <c r="E18" t="s">
        <v>44</v>
      </c>
      <c r="F18" s="1">
        <v>0.65</v>
      </c>
      <c r="G18">
        <v>4.0999999999999996</v>
      </c>
      <c r="H18" s="2">
        <v>15189</v>
      </c>
      <c r="I18" t="s">
        <v>45</v>
      </c>
      <c r="J18" t="s">
        <v>46</v>
      </c>
      <c r="K18" t="s">
        <v>47</v>
      </c>
      <c r="L18" t="s">
        <v>48</v>
      </c>
      <c r="M18" t="s">
        <v>49</v>
      </c>
      <c r="N18" t="s">
        <v>50</v>
      </c>
      <c r="P18" s="3" t="s">
        <v>541</v>
      </c>
      <c r="Q18" s="3" t="s">
        <v>1142</v>
      </c>
      <c r="R18">
        <v>7</v>
      </c>
      <c r="S18">
        <f t="shared" ca="1" si="0"/>
        <v>2</v>
      </c>
      <c r="T18" s="4">
        <f t="shared" ca="1" si="1"/>
        <v>45315</v>
      </c>
      <c r="U18">
        <f t="shared" si="2"/>
        <v>75</v>
      </c>
      <c r="V18">
        <f t="shared" si="3"/>
        <v>50</v>
      </c>
      <c r="W18">
        <f t="shared" ca="1" si="4"/>
        <v>100</v>
      </c>
      <c r="X18">
        <f t="shared" si="5"/>
        <v>100</v>
      </c>
      <c r="Y18">
        <f t="shared" si="6"/>
        <v>75</v>
      </c>
      <c r="Z18">
        <f t="shared" si="7"/>
        <v>50</v>
      </c>
      <c r="AA18">
        <f t="shared" ca="1" si="8"/>
        <v>100</v>
      </c>
      <c r="AB18">
        <f t="shared" si="9"/>
        <v>100</v>
      </c>
      <c r="AC18">
        <f t="shared" ca="1" si="10"/>
        <v>80</v>
      </c>
      <c r="AD18" t="str">
        <f t="shared" si="11"/>
        <v>Request Revision</v>
      </c>
    </row>
    <row r="19" spans="1:30">
      <c r="A19" t="s">
        <v>188</v>
      </c>
      <c r="B19" t="s">
        <v>189</v>
      </c>
      <c r="C19" t="s">
        <v>59</v>
      </c>
      <c r="D19" t="s">
        <v>190</v>
      </c>
      <c r="E19" t="s">
        <v>191</v>
      </c>
      <c r="F19" s="1">
        <v>0.31</v>
      </c>
      <c r="G19">
        <v>4.3</v>
      </c>
      <c r="H19" s="2">
        <v>4703</v>
      </c>
      <c r="I19" t="s">
        <v>175</v>
      </c>
      <c r="J19" t="s">
        <v>77</v>
      </c>
      <c r="K19" t="s">
        <v>78</v>
      </c>
      <c r="L19" t="s">
        <v>79</v>
      </c>
      <c r="M19" t="s">
        <v>80</v>
      </c>
      <c r="N19" t="s">
        <v>81</v>
      </c>
      <c r="O19" t="s">
        <v>192</v>
      </c>
      <c r="P19" s="3" t="s">
        <v>193</v>
      </c>
      <c r="Q19" s="3" t="s">
        <v>1143</v>
      </c>
      <c r="R19">
        <v>7</v>
      </c>
      <c r="S19">
        <f t="shared" ca="1" si="0"/>
        <v>15</v>
      </c>
      <c r="T19" s="4">
        <f t="shared" ca="1" si="1"/>
        <v>45294</v>
      </c>
      <c r="U19">
        <f t="shared" si="2"/>
        <v>100</v>
      </c>
      <c r="V19">
        <f t="shared" si="3"/>
        <v>100</v>
      </c>
      <c r="W19">
        <f t="shared" ca="1" si="4"/>
        <v>20</v>
      </c>
      <c r="X19">
        <f t="shared" si="5"/>
        <v>100</v>
      </c>
      <c r="Y19">
        <f t="shared" si="6"/>
        <v>100</v>
      </c>
      <c r="Z19">
        <f t="shared" si="7"/>
        <v>100</v>
      </c>
      <c r="AA19">
        <f t="shared" ca="1" si="8"/>
        <v>20</v>
      </c>
      <c r="AB19">
        <f t="shared" si="9"/>
        <v>100</v>
      </c>
      <c r="AC19">
        <f t="shared" ca="1" si="10"/>
        <v>80</v>
      </c>
      <c r="AD19" t="str">
        <f t="shared" si="11"/>
        <v>Approve</v>
      </c>
    </row>
    <row r="20" spans="1:30">
      <c r="A20" t="s">
        <v>668</v>
      </c>
      <c r="B20" t="s">
        <v>669</v>
      </c>
      <c r="C20" t="s">
        <v>627</v>
      </c>
      <c r="D20" t="s">
        <v>176</v>
      </c>
      <c r="E20" t="s">
        <v>52</v>
      </c>
      <c r="F20" s="1">
        <v>0.55000000000000004</v>
      </c>
      <c r="G20">
        <v>4.3</v>
      </c>
      <c r="H20" s="2">
        <v>11330</v>
      </c>
      <c r="I20" t="s">
        <v>670</v>
      </c>
      <c r="J20" t="s">
        <v>671</v>
      </c>
      <c r="K20" t="s">
        <v>672</v>
      </c>
      <c r="L20" t="s">
        <v>673</v>
      </c>
      <c r="M20" t="s">
        <v>674</v>
      </c>
      <c r="N20" t="s">
        <v>675</v>
      </c>
      <c r="O20" t="s">
        <v>634</v>
      </c>
      <c r="P20" s="3" t="s">
        <v>676</v>
      </c>
      <c r="Q20" s="3" t="s">
        <v>1144</v>
      </c>
      <c r="R20">
        <v>7</v>
      </c>
      <c r="S20">
        <f t="shared" ca="1" si="0"/>
        <v>10</v>
      </c>
      <c r="T20" s="4">
        <f t="shared" ca="1" si="1"/>
        <v>45296</v>
      </c>
      <c r="U20">
        <f t="shared" si="2"/>
        <v>100</v>
      </c>
      <c r="V20">
        <f t="shared" si="3"/>
        <v>100</v>
      </c>
      <c r="W20">
        <f t="shared" ca="1" si="4"/>
        <v>70</v>
      </c>
      <c r="X20">
        <f t="shared" si="5"/>
        <v>100</v>
      </c>
      <c r="Y20">
        <f t="shared" si="6"/>
        <v>100</v>
      </c>
      <c r="Z20">
        <f t="shared" si="7"/>
        <v>100</v>
      </c>
      <c r="AA20">
        <f t="shared" ca="1" si="8"/>
        <v>70</v>
      </c>
      <c r="AB20">
        <f t="shared" si="9"/>
        <v>100</v>
      </c>
      <c r="AC20">
        <f t="shared" ca="1" si="10"/>
        <v>92.5</v>
      </c>
      <c r="AD20" t="str">
        <f t="shared" si="11"/>
        <v>Approve</v>
      </c>
    </row>
    <row r="21" spans="1:30">
      <c r="A21" t="s">
        <v>995</v>
      </c>
      <c r="B21" t="s">
        <v>996</v>
      </c>
      <c r="C21" t="s">
        <v>817</v>
      </c>
      <c r="D21" t="s">
        <v>512</v>
      </c>
      <c r="E21" t="s">
        <v>997</v>
      </c>
      <c r="F21" s="1">
        <v>0.52</v>
      </c>
      <c r="G21">
        <v>3.9</v>
      </c>
      <c r="H21">
        <v>959</v>
      </c>
      <c r="I21" t="s">
        <v>1235</v>
      </c>
      <c r="J21" t="s">
        <v>998</v>
      </c>
      <c r="K21" t="s">
        <v>999</v>
      </c>
      <c r="L21" t="s">
        <v>1000</v>
      </c>
      <c r="M21" t="s">
        <v>1001</v>
      </c>
      <c r="N21" t="s">
        <v>1002</v>
      </c>
      <c r="P21" s="3" t="s">
        <v>1003</v>
      </c>
      <c r="Q21" s="3" t="s">
        <v>1145</v>
      </c>
      <c r="R21">
        <v>7</v>
      </c>
      <c r="S21">
        <f t="shared" ca="1" si="0"/>
        <v>18</v>
      </c>
      <c r="T21" s="4">
        <f t="shared" ca="1" si="1"/>
        <v>45292</v>
      </c>
      <c r="U21">
        <f t="shared" si="2"/>
        <v>75</v>
      </c>
      <c r="V21">
        <f t="shared" si="3"/>
        <v>0</v>
      </c>
      <c r="W21">
        <f t="shared" ca="1" si="4"/>
        <v>0</v>
      </c>
      <c r="X21">
        <f t="shared" si="5"/>
        <v>100</v>
      </c>
      <c r="Y21">
        <f t="shared" si="6"/>
        <v>75</v>
      </c>
      <c r="Z21">
        <f t="shared" si="7"/>
        <v>0</v>
      </c>
      <c r="AA21">
        <f t="shared" ca="1" si="8"/>
        <v>0</v>
      </c>
      <c r="AB21">
        <f t="shared" si="9"/>
        <v>100</v>
      </c>
      <c r="AC21">
        <f t="shared" ca="1" si="10"/>
        <v>42.5</v>
      </c>
      <c r="AD21" t="str">
        <f t="shared" si="11"/>
        <v>Request Revision</v>
      </c>
    </row>
    <row r="22" spans="1:30">
      <c r="A22" t="s">
        <v>122</v>
      </c>
      <c r="B22" t="s">
        <v>123</v>
      </c>
      <c r="C22" t="s">
        <v>16</v>
      </c>
      <c r="D22" t="s">
        <v>21</v>
      </c>
      <c r="E22" t="s">
        <v>124</v>
      </c>
      <c r="F22" s="1">
        <v>0.5</v>
      </c>
      <c r="G22">
        <v>4.2</v>
      </c>
      <c r="H22" s="2">
        <v>92595</v>
      </c>
      <c r="J22" t="s">
        <v>125</v>
      </c>
      <c r="K22" t="s">
        <v>126</v>
      </c>
      <c r="L22" t="s">
        <v>127</v>
      </c>
      <c r="M22" t="s">
        <v>128</v>
      </c>
      <c r="N22" t="s">
        <v>129</v>
      </c>
      <c r="P22" s="3" t="s">
        <v>130</v>
      </c>
      <c r="Q22" s="3" t="s">
        <v>1146</v>
      </c>
      <c r="R22">
        <v>7</v>
      </c>
      <c r="S22">
        <f t="shared" ca="1" si="0"/>
        <v>13</v>
      </c>
      <c r="T22" s="4">
        <f t="shared" ca="1" si="1"/>
        <v>45299</v>
      </c>
      <c r="U22">
        <f t="shared" si="2"/>
        <v>50</v>
      </c>
      <c r="V22">
        <f t="shared" si="3"/>
        <v>0</v>
      </c>
      <c r="W22">
        <f t="shared" ca="1" si="4"/>
        <v>40</v>
      </c>
      <c r="X22">
        <f t="shared" si="5"/>
        <v>100</v>
      </c>
      <c r="Y22">
        <f t="shared" si="6"/>
        <v>50</v>
      </c>
      <c r="Z22">
        <f t="shared" si="7"/>
        <v>0</v>
      </c>
      <c r="AA22">
        <f t="shared" ca="1" si="8"/>
        <v>40</v>
      </c>
      <c r="AB22">
        <f t="shared" si="9"/>
        <v>100</v>
      </c>
      <c r="AC22">
        <f t="shared" ca="1" si="10"/>
        <v>45</v>
      </c>
      <c r="AD22" t="str">
        <f t="shared" si="11"/>
        <v>Escalate to Sr. Analyst</v>
      </c>
    </row>
    <row r="23" spans="1:30">
      <c r="A23" t="s">
        <v>373</v>
      </c>
      <c r="B23" t="s">
        <v>374</v>
      </c>
      <c r="C23" t="s">
        <v>302</v>
      </c>
      <c r="D23" t="s">
        <v>119</v>
      </c>
      <c r="E23" t="s">
        <v>375</v>
      </c>
      <c r="F23" s="1">
        <v>0.1</v>
      </c>
      <c r="G23">
        <v>4.2</v>
      </c>
      <c r="H23" s="2">
        <v>11029</v>
      </c>
      <c r="I23" t="s">
        <v>376</v>
      </c>
      <c r="J23" t="s">
        <v>377</v>
      </c>
      <c r="K23" t="s">
        <v>378</v>
      </c>
      <c r="L23" t="s">
        <v>379</v>
      </c>
      <c r="M23" t="s">
        <v>380</v>
      </c>
      <c r="N23" t="s">
        <v>381</v>
      </c>
      <c r="O23" t="s">
        <v>382</v>
      </c>
      <c r="P23" s="3" t="s">
        <v>383</v>
      </c>
      <c r="Q23" s="3" t="s">
        <v>1147</v>
      </c>
      <c r="R23">
        <v>7</v>
      </c>
      <c r="S23">
        <f t="shared" ca="1" si="0"/>
        <v>16</v>
      </c>
      <c r="T23" s="4">
        <f t="shared" ca="1" si="1"/>
        <v>45294</v>
      </c>
      <c r="U23">
        <f t="shared" si="2"/>
        <v>100</v>
      </c>
      <c r="V23">
        <f t="shared" si="3"/>
        <v>100</v>
      </c>
      <c r="W23">
        <f t="shared" ca="1" si="4"/>
        <v>10</v>
      </c>
      <c r="X23">
        <f t="shared" si="5"/>
        <v>100</v>
      </c>
      <c r="Y23">
        <f t="shared" si="6"/>
        <v>100</v>
      </c>
      <c r="Z23">
        <f t="shared" si="7"/>
        <v>100</v>
      </c>
      <c r="AA23">
        <f t="shared" ca="1" si="8"/>
        <v>10</v>
      </c>
      <c r="AB23">
        <f t="shared" si="9"/>
        <v>100</v>
      </c>
      <c r="AC23">
        <f t="shared" ca="1" si="10"/>
        <v>77.5</v>
      </c>
      <c r="AD23" t="str">
        <f t="shared" si="11"/>
        <v>Approve</v>
      </c>
    </row>
    <row r="24" spans="1:30">
      <c r="A24" t="s">
        <v>164</v>
      </c>
      <c r="B24" t="s">
        <v>165</v>
      </c>
      <c r="C24" t="s">
        <v>16</v>
      </c>
      <c r="D24" t="s">
        <v>22</v>
      </c>
      <c r="E24" t="s">
        <v>91</v>
      </c>
      <c r="F24" s="1">
        <v>0.42</v>
      </c>
      <c r="G24">
        <v>4.0999999999999996</v>
      </c>
      <c r="H24">
        <v>210</v>
      </c>
      <c r="J24" t="s">
        <v>166</v>
      </c>
      <c r="K24" t="s">
        <v>167</v>
      </c>
      <c r="L24" t="s">
        <v>168</v>
      </c>
      <c r="M24" t="s">
        <v>169</v>
      </c>
      <c r="N24" t="s">
        <v>170</v>
      </c>
      <c r="O24" t="s">
        <v>171</v>
      </c>
      <c r="P24" s="3" t="s">
        <v>172</v>
      </c>
      <c r="Q24" s="3" t="s">
        <v>1148</v>
      </c>
      <c r="R24">
        <v>7</v>
      </c>
      <c r="S24">
        <f t="shared" ca="1" si="0"/>
        <v>11</v>
      </c>
      <c r="T24" s="4">
        <f t="shared" ca="1" si="1"/>
        <v>45308</v>
      </c>
      <c r="U24">
        <f t="shared" si="2"/>
        <v>75</v>
      </c>
      <c r="V24">
        <f t="shared" si="3"/>
        <v>50</v>
      </c>
      <c r="W24">
        <f t="shared" ca="1" si="4"/>
        <v>60</v>
      </c>
      <c r="X24">
        <f t="shared" si="5"/>
        <v>100</v>
      </c>
      <c r="Y24">
        <f t="shared" si="6"/>
        <v>75</v>
      </c>
      <c r="Z24">
        <f t="shared" si="7"/>
        <v>50</v>
      </c>
      <c r="AA24">
        <f t="shared" ca="1" si="8"/>
        <v>60</v>
      </c>
      <c r="AB24">
        <f t="shared" si="9"/>
        <v>100</v>
      </c>
      <c r="AC24">
        <f t="shared" ca="1" si="10"/>
        <v>70</v>
      </c>
      <c r="AD24" t="str">
        <f t="shared" si="11"/>
        <v>Request Revision</v>
      </c>
    </row>
    <row r="25" spans="1:30">
      <c r="A25" t="s">
        <v>820</v>
      </c>
      <c r="B25" t="s">
        <v>821</v>
      </c>
      <c r="C25" t="s">
        <v>822</v>
      </c>
      <c r="D25" t="s">
        <v>823</v>
      </c>
      <c r="E25" t="s">
        <v>824</v>
      </c>
      <c r="F25" s="1">
        <v>0.08</v>
      </c>
      <c r="G25">
        <v>4.3</v>
      </c>
      <c r="H25" s="2">
        <v>37974</v>
      </c>
      <c r="I25" t="s">
        <v>825</v>
      </c>
      <c r="J25" t="s">
        <v>826</v>
      </c>
      <c r="K25" t="s">
        <v>827</v>
      </c>
      <c r="L25" t="s">
        <v>828</v>
      </c>
      <c r="M25" t="s">
        <v>829</v>
      </c>
      <c r="N25" t="s">
        <v>830</v>
      </c>
      <c r="O25" t="s">
        <v>831</v>
      </c>
      <c r="P25" s="3" t="s">
        <v>832</v>
      </c>
      <c r="Q25" s="3" t="s">
        <v>1149</v>
      </c>
      <c r="R25">
        <v>7</v>
      </c>
      <c r="S25">
        <f t="shared" ca="1" si="0"/>
        <v>12</v>
      </c>
      <c r="T25" s="4">
        <f t="shared" ca="1" si="1"/>
        <v>45307</v>
      </c>
      <c r="U25">
        <f t="shared" si="2"/>
        <v>100</v>
      </c>
      <c r="V25">
        <f t="shared" si="3"/>
        <v>100</v>
      </c>
      <c r="W25">
        <f t="shared" ca="1" si="4"/>
        <v>50</v>
      </c>
      <c r="X25">
        <f t="shared" si="5"/>
        <v>100</v>
      </c>
      <c r="Y25">
        <f t="shared" si="6"/>
        <v>100</v>
      </c>
      <c r="Z25">
        <f t="shared" si="7"/>
        <v>100</v>
      </c>
      <c r="AA25">
        <f t="shared" ca="1" si="8"/>
        <v>50</v>
      </c>
      <c r="AB25">
        <f t="shared" si="9"/>
        <v>100</v>
      </c>
      <c r="AC25">
        <f t="shared" ca="1" si="10"/>
        <v>87.5</v>
      </c>
      <c r="AD25" t="str">
        <f t="shared" si="11"/>
        <v>Approve</v>
      </c>
    </row>
    <row r="26" spans="1:30">
      <c r="A26" t="s">
        <v>398</v>
      </c>
      <c r="B26" t="s">
        <v>399</v>
      </c>
      <c r="C26" t="s">
        <v>302</v>
      </c>
      <c r="D26" t="s">
        <v>224</v>
      </c>
      <c r="E26" t="s">
        <v>187</v>
      </c>
      <c r="F26" s="1">
        <v>0.26</v>
      </c>
      <c r="G26">
        <v>4.2</v>
      </c>
      <c r="H26" s="2">
        <v>32916</v>
      </c>
      <c r="I26" t="s">
        <v>400</v>
      </c>
      <c r="J26" t="s">
        <v>338</v>
      </c>
      <c r="K26" t="s">
        <v>339</v>
      </c>
      <c r="L26" t="s">
        <v>340</v>
      </c>
      <c r="M26" t="s">
        <v>341</v>
      </c>
      <c r="N26" t="s">
        <v>342</v>
      </c>
      <c r="O26" t="s">
        <v>401</v>
      </c>
      <c r="P26" s="3" t="s">
        <v>402</v>
      </c>
      <c r="Q26" s="3" t="s">
        <v>1150</v>
      </c>
      <c r="R26">
        <v>7</v>
      </c>
      <c r="S26">
        <f t="shared" ca="1" si="0"/>
        <v>20</v>
      </c>
      <c r="T26" s="4">
        <f t="shared" ca="1" si="1"/>
        <v>45311</v>
      </c>
      <c r="U26">
        <f t="shared" si="2"/>
        <v>100</v>
      </c>
      <c r="V26">
        <f t="shared" si="3"/>
        <v>100</v>
      </c>
      <c r="W26">
        <f t="shared" ca="1" si="4"/>
        <v>0</v>
      </c>
      <c r="X26">
        <f t="shared" si="5"/>
        <v>100</v>
      </c>
      <c r="Y26">
        <f t="shared" si="6"/>
        <v>100</v>
      </c>
      <c r="Z26">
        <f t="shared" si="7"/>
        <v>100</v>
      </c>
      <c r="AA26">
        <f t="shared" ca="1" si="8"/>
        <v>0</v>
      </c>
      <c r="AB26">
        <f t="shared" si="9"/>
        <v>100</v>
      </c>
      <c r="AC26">
        <f t="shared" ca="1" si="10"/>
        <v>75</v>
      </c>
      <c r="AD26" t="str">
        <f t="shared" si="11"/>
        <v>Approve</v>
      </c>
    </row>
    <row r="27" spans="1:30">
      <c r="A27" t="s">
        <v>973</v>
      </c>
      <c r="B27" t="s">
        <v>974</v>
      </c>
      <c r="C27" t="s">
        <v>975</v>
      </c>
      <c r="D27" t="s">
        <v>976</v>
      </c>
      <c r="E27" t="s">
        <v>834</v>
      </c>
      <c r="F27" s="1">
        <v>0.17</v>
      </c>
      <c r="G27">
        <v>3.9</v>
      </c>
      <c r="H27" s="2">
        <v>3815</v>
      </c>
      <c r="I27" t="s">
        <v>977</v>
      </c>
      <c r="J27" t="s">
        <v>978</v>
      </c>
      <c r="K27" t="s">
        <v>979</v>
      </c>
      <c r="L27" t="s">
        <v>980</v>
      </c>
      <c r="M27" t="s">
        <v>981</v>
      </c>
      <c r="N27" t="s">
        <v>982</v>
      </c>
      <c r="O27" t="s">
        <v>983</v>
      </c>
      <c r="P27" s="3" t="s">
        <v>984</v>
      </c>
      <c r="Q27" s="3" t="s">
        <v>1151</v>
      </c>
      <c r="R27">
        <v>7</v>
      </c>
      <c r="S27">
        <f t="shared" ca="1" si="0"/>
        <v>4</v>
      </c>
      <c r="T27" s="4">
        <f t="shared" ca="1" si="1"/>
        <v>45292</v>
      </c>
      <c r="U27">
        <f t="shared" si="2"/>
        <v>100</v>
      </c>
      <c r="V27">
        <f t="shared" si="3"/>
        <v>100</v>
      </c>
      <c r="W27">
        <f t="shared" ca="1" si="4"/>
        <v>100</v>
      </c>
      <c r="X27">
        <f t="shared" si="5"/>
        <v>100</v>
      </c>
      <c r="Y27">
        <f t="shared" si="6"/>
        <v>100</v>
      </c>
      <c r="Z27">
        <f t="shared" si="7"/>
        <v>100</v>
      </c>
      <c r="AA27">
        <f t="shared" ca="1" si="8"/>
        <v>100</v>
      </c>
      <c r="AB27">
        <f t="shared" si="9"/>
        <v>100</v>
      </c>
      <c r="AC27">
        <f t="shared" ca="1" si="10"/>
        <v>100</v>
      </c>
      <c r="AD27" t="str">
        <f t="shared" si="11"/>
        <v>Approve</v>
      </c>
    </row>
    <row r="28" spans="1:30">
      <c r="A28" t="s">
        <v>92</v>
      </c>
      <c r="B28" t="s">
        <v>93</v>
      </c>
      <c r="C28" t="s">
        <v>16</v>
      </c>
      <c r="D28" t="s">
        <v>21</v>
      </c>
      <c r="E28" t="s">
        <v>52</v>
      </c>
      <c r="F28" s="1">
        <v>0.8</v>
      </c>
      <c r="G28">
        <v>3.9</v>
      </c>
      <c r="H28" s="2">
        <v>1075</v>
      </c>
      <c r="I28" t="s">
        <v>94</v>
      </c>
      <c r="J28" t="s">
        <v>95</v>
      </c>
      <c r="K28" t="s">
        <v>96</v>
      </c>
      <c r="L28" t="s">
        <v>97</v>
      </c>
      <c r="M28" t="s">
        <v>98</v>
      </c>
      <c r="N28" t="s">
        <v>99</v>
      </c>
      <c r="O28" t="s">
        <v>100</v>
      </c>
      <c r="P28" s="3" t="s">
        <v>688</v>
      </c>
      <c r="Q28" s="3" t="s">
        <v>1152</v>
      </c>
      <c r="R28">
        <v>7</v>
      </c>
      <c r="S28">
        <f t="shared" ca="1" si="0"/>
        <v>7</v>
      </c>
      <c r="T28" s="4">
        <f t="shared" ca="1" si="1"/>
        <v>45300</v>
      </c>
      <c r="U28">
        <f t="shared" si="2"/>
        <v>100</v>
      </c>
      <c r="V28">
        <f t="shared" si="3"/>
        <v>100</v>
      </c>
      <c r="W28">
        <f t="shared" ca="1" si="4"/>
        <v>100</v>
      </c>
      <c r="X28">
        <f t="shared" si="5"/>
        <v>100</v>
      </c>
      <c r="Y28">
        <f t="shared" si="6"/>
        <v>100</v>
      </c>
      <c r="Z28">
        <f t="shared" si="7"/>
        <v>100</v>
      </c>
      <c r="AA28">
        <f t="shared" ca="1" si="8"/>
        <v>100</v>
      </c>
      <c r="AB28">
        <f t="shared" si="9"/>
        <v>100</v>
      </c>
      <c r="AC28">
        <f t="shared" ca="1" si="10"/>
        <v>100</v>
      </c>
      <c r="AD28" t="str">
        <f t="shared" si="11"/>
        <v>Approve</v>
      </c>
    </row>
    <row r="29" spans="1:30">
      <c r="A29" t="s">
        <v>638</v>
      </c>
      <c r="B29" t="s">
        <v>639</v>
      </c>
      <c r="C29" t="s">
        <v>640</v>
      </c>
      <c r="D29" t="s">
        <v>599</v>
      </c>
      <c r="E29" t="s">
        <v>641</v>
      </c>
      <c r="F29" s="1">
        <v>0.2</v>
      </c>
      <c r="G29">
        <v>3.9</v>
      </c>
      <c r="H29" s="2">
        <v>15783</v>
      </c>
      <c r="J29" t="s">
        <v>642</v>
      </c>
      <c r="K29" t="s">
        <v>643</v>
      </c>
      <c r="L29" t="s">
        <v>644</v>
      </c>
      <c r="M29" t="s">
        <v>645</v>
      </c>
      <c r="N29" t="s">
        <v>646</v>
      </c>
      <c r="O29" t="s">
        <v>647</v>
      </c>
      <c r="P29" s="3" t="s">
        <v>648</v>
      </c>
      <c r="Q29" s="3" t="s">
        <v>1153</v>
      </c>
      <c r="R29">
        <v>7</v>
      </c>
      <c r="S29">
        <f t="shared" ca="1" si="0"/>
        <v>3</v>
      </c>
      <c r="T29" s="4">
        <f t="shared" ca="1" si="1"/>
        <v>45301</v>
      </c>
      <c r="U29">
        <f t="shared" si="2"/>
        <v>75</v>
      </c>
      <c r="V29">
        <f t="shared" si="3"/>
        <v>50</v>
      </c>
      <c r="W29">
        <f t="shared" ca="1" si="4"/>
        <v>100</v>
      </c>
      <c r="X29">
        <f t="shared" si="5"/>
        <v>100</v>
      </c>
      <c r="Y29">
        <f t="shared" si="6"/>
        <v>75</v>
      </c>
      <c r="Z29">
        <f t="shared" si="7"/>
        <v>50</v>
      </c>
      <c r="AA29">
        <f t="shared" ca="1" si="8"/>
        <v>100</v>
      </c>
      <c r="AB29">
        <f t="shared" si="9"/>
        <v>100</v>
      </c>
      <c r="AC29">
        <f t="shared" ca="1" si="10"/>
        <v>80</v>
      </c>
      <c r="AD29" t="str">
        <f t="shared" si="11"/>
        <v>Request Revision</v>
      </c>
    </row>
    <row r="30" spans="1:30">
      <c r="A30" t="s">
        <v>233</v>
      </c>
      <c r="B30" t="s">
        <v>234</v>
      </c>
      <c r="C30" t="s">
        <v>16</v>
      </c>
      <c r="D30" t="s">
        <v>235</v>
      </c>
      <c r="E30" t="s">
        <v>31</v>
      </c>
      <c r="F30" s="1">
        <v>0.63</v>
      </c>
      <c r="G30">
        <v>3.8</v>
      </c>
      <c r="H30" s="2">
        <v>2399</v>
      </c>
      <c r="J30" t="s">
        <v>236</v>
      </c>
      <c r="K30" t="s">
        <v>237</v>
      </c>
      <c r="L30" t="s">
        <v>238</v>
      </c>
      <c r="M30" t="s">
        <v>239</v>
      </c>
      <c r="N30" t="s">
        <v>240</v>
      </c>
      <c r="P30" s="3" t="s">
        <v>241</v>
      </c>
      <c r="Q30" s="3" t="s">
        <v>1154</v>
      </c>
      <c r="R30">
        <v>7</v>
      </c>
      <c r="S30">
        <f t="shared" ca="1" si="0"/>
        <v>3</v>
      </c>
      <c r="T30" s="4">
        <f t="shared" ca="1" si="1"/>
        <v>45296</v>
      </c>
      <c r="U30">
        <f t="shared" si="2"/>
        <v>50</v>
      </c>
      <c r="V30">
        <f t="shared" si="3"/>
        <v>0</v>
      </c>
      <c r="W30">
        <f t="shared" ca="1" si="4"/>
        <v>100</v>
      </c>
      <c r="X30">
        <f t="shared" si="5"/>
        <v>100</v>
      </c>
      <c r="Y30">
        <f t="shared" si="6"/>
        <v>50</v>
      </c>
      <c r="Z30">
        <f t="shared" si="7"/>
        <v>0</v>
      </c>
      <c r="AA30">
        <f t="shared" ca="1" si="8"/>
        <v>100</v>
      </c>
      <c r="AB30">
        <f t="shared" si="9"/>
        <v>100</v>
      </c>
      <c r="AC30">
        <f t="shared" ca="1" si="10"/>
        <v>60</v>
      </c>
      <c r="AD30" t="str">
        <f t="shared" si="11"/>
        <v>Escalate to Sr. Analyst</v>
      </c>
    </row>
    <row r="31" spans="1:30">
      <c r="A31" t="s">
        <v>510</v>
      </c>
      <c r="B31" t="s">
        <v>511</v>
      </c>
      <c r="C31" t="s">
        <v>305</v>
      </c>
      <c r="D31" t="s">
        <v>145</v>
      </c>
      <c r="E31" t="s">
        <v>512</v>
      </c>
      <c r="F31" s="1">
        <v>0.75</v>
      </c>
      <c r="G31">
        <v>3.9</v>
      </c>
      <c r="H31" s="2">
        <v>9504</v>
      </c>
      <c r="I31" t="s">
        <v>513</v>
      </c>
      <c r="J31" t="s">
        <v>514</v>
      </c>
      <c r="K31" t="s">
        <v>515</v>
      </c>
      <c r="L31" t="s">
        <v>516</v>
      </c>
      <c r="M31" t="s">
        <v>517</v>
      </c>
      <c r="N31" t="s">
        <v>518</v>
      </c>
      <c r="P31" s="3" t="s">
        <v>519</v>
      </c>
      <c r="Q31" s="3" t="s">
        <v>1155</v>
      </c>
      <c r="R31">
        <v>7</v>
      </c>
      <c r="S31">
        <f t="shared" ca="1" si="0"/>
        <v>11</v>
      </c>
      <c r="T31" s="4">
        <f t="shared" ca="1" si="1"/>
        <v>45297</v>
      </c>
      <c r="U31">
        <f t="shared" si="2"/>
        <v>75</v>
      </c>
      <c r="V31">
        <f t="shared" si="3"/>
        <v>50</v>
      </c>
      <c r="W31">
        <f t="shared" ca="1" si="4"/>
        <v>60</v>
      </c>
      <c r="X31">
        <f t="shared" si="5"/>
        <v>100</v>
      </c>
      <c r="Y31">
        <f t="shared" si="6"/>
        <v>75</v>
      </c>
      <c r="Z31">
        <f t="shared" si="7"/>
        <v>50</v>
      </c>
      <c r="AA31">
        <f t="shared" ca="1" si="8"/>
        <v>60</v>
      </c>
      <c r="AB31">
        <f t="shared" si="9"/>
        <v>100</v>
      </c>
      <c r="AC31">
        <f t="shared" ca="1" si="10"/>
        <v>70</v>
      </c>
      <c r="AD31" t="str">
        <f t="shared" si="11"/>
        <v>Request Revision</v>
      </c>
    </row>
    <row r="32" spans="1:30">
      <c r="A32" t="s">
        <v>742</v>
      </c>
      <c r="B32" t="s">
        <v>743</v>
      </c>
      <c r="C32" t="s">
        <v>499</v>
      </c>
      <c r="D32" t="s">
        <v>744</v>
      </c>
      <c r="E32" t="s">
        <v>132</v>
      </c>
      <c r="F32" s="1">
        <v>0.36</v>
      </c>
      <c r="G32">
        <v>3.9</v>
      </c>
      <c r="H32">
        <v>427</v>
      </c>
      <c r="I32" t="s">
        <v>1237</v>
      </c>
      <c r="J32" t="s">
        <v>745</v>
      </c>
      <c r="K32" t="s">
        <v>746</v>
      </c>
      <c r="L32" t="s">
        <v>747</v>
      </c>
      <c r="M32" t="s">
        <v>748</v>
      </c>
      <c r="N32" t="s">
        <v>749</v>
      </c>
      <c r="P32" s="3" t="s">
        <v>750</v>
      </c>
      <c r="Q32" s="3" t="s">
        <v>1156</v>
      </c>
      <c r="R32">
        <v>7</v>
      </c>
      <c r="S32">
        <f t="shared" ca="1" si="0"/>
        <v>8</v>
      </c>
      <c r="T32" s="4">
        <f t="shared" ca="1" si="1"/>
        <v>45314</v>
      </c>
      <c r="U32">
        <f t="shared" si="2"/>
        <v>75</v>
      </c>
      <c r="V32">
        <f t="shared" si="3"/>
        <v>0</v>
      </c>
      <c r="W32">
        <f t="shared" ca="1" si="4"/>
        <v>90</v>
      </c>
      <c r="X32">
        <f t="shared" si="5"/>
        <v>100</v>
      </c>
      <c r="Y32">
        <f t="shared" si="6"/>
        <v>75</v>
      </c>
      <c r="Z32">
        <f t="shared" si="7"/>
        <v>0</v>
      </c>
      <c r="AA32">
        <f t="shared" ca="1" si="8"/>
        <v>90</v>
      </c>
      <c r="AB32">
        <f t="shared" si="9"/>
        <v>100</v>
      </c>
      <c r="AC32">
        <f t="shared" ca="1" si="10"/>
        <v>65</v>
      </c>
      <c r="AD32" t="str">
        <f t="shared" si="11"/>
        <v>Request Revision</v>
      </c>
    </row>
    <row r="33" spans="1:30">
      <c r="A33" t="s">
        <v>520</v>
      </c>
      <c r="B33" t="s">
        <v>521</v>
      </c>
      <c r="C33" t="s">
        <v>522</v>
      </c>
      <c r="D33" t="s">
        <v>523</v>
      </c>
      <c r="E33" t="s">
        <v>523</v>
      </c>
      <c r="F33" s="1">
        <v>0</v>
      </c>
      <c r="G33">
        <v>4.5</v>
      </c>
      <c r="H33" s="2">
        <v>5760</v>
      </c>
      <c r="I33" t="s">
        <v>524</v>
      </c>
      <c r="J33" t="s">
        <v>525</v>
      </c>
      <c r="K33" t="s">
        <v>526</v>
      </c>
      <c r="L33" t="s">
        <v>527</v>
      </c>
      <c r="M33" t="s">
        <v>528</v>
      </c>
      <c r="N33" t="s">
        <v>529</v>
      </c>
      <c r="P33" s="3" t="s">
        <v>530</v>
      </c>
      <c r="Q33" s="3" t="s">
        <v>1157</v>
      </c>
      <c r="R33">
        <v>7</v>
      </c>
      <c r="S33">
        <f t="shared" ca="1" si="0"/>
        <v>13</v>
      </c>
      <c r="T33" s="4">
        <f t="shared" ca="1" si="1"/>
        <v>45316</v>
      </c>
      <c r="U33">
        <f t="shared" si="2"/>
        <v>75</v>
      </c>
      <c r="V33">
        <f t="shared" si="3"/>
        <v>50</v>
      </c>
      <c r="W33">
        <f t="shared" ca="1" si="4"/>
        <v>40</v>
      </c>
      <c r="X33">
        <f t="shared" si="5"/>
        <v>100</v>
      </c>
      <c r="Y33">
        <f t="shared" si="6"/>
        <v>75</v>
      </c>
      <c r="Z33">
        <f t="shared" si="7"/>
        <v>50</v>
      </c>
      <c r="AA33">
        <f t="shared" ca="1" si="8"/>
        <v>40</v>
      </c>
      <c r="AB33">
        <f t="shared" si="9"/>
        <v>100</v>
      </c>
      <c r="AC33">
        <f t="shared" ca="1" si="10"/>
        <v>65</v>
      </c>
      <c r="AD33" t="str">
        <f t="shared" si="11"/>
        <v>Request Revision</v>
      </c>
    </row>
    <row r="34" spans="1:30">
      <c r="A34" t="s">
        <v>732</v>
      </c>
      <c r="B34" t="s">
        <v>733</v>
      </c>
      <c r="C34" t="s">
        <v>542</v>
      </c>
      <c r="D34" t="s">
        <v>131</v>
      </c>
      <c r="E34" t="s">
        <v>153</v>
      </c>
      <c r="F34" s="1">
        <v>0.6</v>
      </c>
      <c r="G34">
        <v>4.0999999999999996</v>
      </c>
      <c r="H34" s="2">
        <v>10725</v>
      </c>
      <c r="I34" t="s">
        <v>734</v>
      </c>
      <c r="J34" t="s">
        <v>735</v>
      </c>
      <c r="K34" t="s">
        <v>736</v>
      </c>
      <c r="L34" t="s">
        <v>737</v>
      </c>
      <c r="M34" t="s">
        <v>738</v>
      </c>
      <c r="N34" t="s">
        <v>739</v>
      </c>
      <c r="P34" s="3" t="s">
        <v>740</v>
      </c>
      <c r="Q34" s="3" t="s">
        <v>1158</v>
      </c>
      <c r="R34">
        <v>7</v>
      </c>
      <c r="S34">
        <f t="shared" ca="1" si="0"/>
        <v>6</v>
      </c>
      <c r="T34" s="4">
        <f t="shared" ca="1" si="1"/>
        <v>45303</v>
      </c>
      <c r="U34">
        <f t="shared" si="2"/>
        <v>75</v>
      </c>
      <c r="V34">
        <f t="shared" si="3"/>
        <v>50</v>
      </c>
      <c r="W34">
        <f t="shared" ca="1" si="4"/>
        <v>100</v>
      </c>
      <c r="X34">
        <f t="shared" si="5"/>
        <v>100</v>
      </c>
      <c r="Y34">
        <f t="shared" si="6"/>
        <v>75</v>
      </c>
      <c r="Z34">
        <f t="shared" si="7"/>
        <v>50</v>
      </c>
      <c r="AA34">
        <f t="shared" ca="1" si="8"/>
        <v>100</v>
      </c>
      <c r="AB34">
        <f t="shared" si="9"/>
        <v>100</v>
      </c>
      <c r="AC34">
        <f t="shared" ca="1" si="10"/>
        <v>80</v>
      </c>
      <c r="AD34" t="str">
        <f t="shared" si="11"/>
        <v>Request Revision</v>
      </c>
    </row>
    <row r="35" spans="1:30">
      <c r="A35" t="s">
        <v>962</v>
      </c>
      <c r="B35" t="s">
        <v>963</v>
      </c>
      <c r="C35" t="s">
        <v>835</v>
      </c>
      <c r="D35" t="s">
        <v>145</v>
      </c>
      <c r="E35" t="s">
        <v>964</v>
      </c>
      <c r="F35" s="1">
        <v>0.39</v>
      </c>
      <c r="G35">
        <v>4.4000000000000004</v>
      </c>
      <c r="H35">
        <v>461</v>
      </c>
      <c r="I35" t="s">
        <v>965</v>
      </c>
      <c r="J35" t="s">
        <v>966</v>
      </c>
      <c r="K35" t="s">
        <v>967</v>
      </c>
      <c r="L35" t="s">
        <v>968</v>
      </c>
      <c r="M35" t="s">
        <v>969</v>
      </c>
      <c r="N35" t="s">
        <v>970</v>
      </c>
      <c r="O35" t="s">
        <v>971</v>
      </c>
      <c r="P35" s="3" t="s">
        <v>972</v>
      </c>
      <c r="Q35" s="3" t="s">
        <v>1159</v>
      </c>
      <c r="R35">
        <v>7</v>
      </c>
      <c r="S35">
        <f t="shared" ca="1" si="0"/>
        <v>1</v>
      </c>
      <c r="T35" s="4">
        <f t="shared" ca="1" si="1"/>
        <v>45312</v>
      </c>
      <c r="U35">
        <f t="shared" si="2"/>
        <v>100</v>
      </c>
      <c r="V35">
        <f t="shared" si="3"/>
        <v>100</v>
      </c>
      <c r="W35">
        <f t="shared" ca="1" si="4"/>
        <v>100</v>
      </c>
      <c r="X35">
        <f t="shared" si="5"/>
        <v>100</v>
      </c>
      <c r="Y35">
        <f t="shared" si="6"/>
        <v>100</v>
      </c>
      <c r="Z35">
        <f t="shared" si="7"/>
        <v>100</v>
      </c>
      <c r="AA35">
        <f t="shared" ca="1" si="8"/>
        <v>100</v>
      </c>
      <c r="AB35">
        <f t="shared" si="9"/>
        <v>100</v>
      </c>
      <c r="AC35">
        <f t="shared" ca="1" si="10"/>
        <v>100</v>
      </c>
      <c r="AD35" t="str">
        <f t="shared" si="11"/>
        <v>Approve</v>
      </c>
    </row>
    <row r="36" spans="1:30">
      <c r="A36" t="s">
        <v>137</v>
      </c>
      <c r="B36" t="s">
        <v>138</v>
      </c>
      <c r="C36" t="s">
        <v>16</v>
      </c>
      <c r="D36" t="s">
        <v>21</v>
      </c>
      <c r="E36" t="s">
        <v>22</v>
      </c>
      <c r="F36" s="1">
        <v>0.43</v>
      </c>
      <c r="G36">
        <v>4.0999999999999996</v>
      </c>
      <c r="H36">
        <v>314</v>
      </c>
      <c r="I36" t="s">
        <v>139</v>
      </c>
      <c r="J36" t="s">
        <v>140</v>
      </c>
      <c r="K36" t="s">
        <v>141</v>
      </c>
      <c r="L36" t="s">
        <v>142</v>
      </c>
      <c r="M36" t="s">
        <v>143</v>
      </c>
      <c r="N36" t="s">
        <v>144</v>
      </c>
      <c r="P36" s="3" t="s">
        <v>710</v>
      </c>
      <c r="Q36" s="3" t="s">
        <v>1160</v>
      </c>
      <c r="R36">
        <v>7</v>
      </c>
      <c r="S36">
        <f t="shared" ca="1" si="0"/>
        <v>6</v>
      </c>
      <c r="T36" s="4">
        <f t="shared" ca="1" si="1"/>
        <v>45308</v>
      </c>
      <c r="U36">
        <f t="shared" si="2"/>
        <v>75</v>
      </c>
      <c r="V36">
        <f t="shared" si="3"/>
        <v>50</v>
      </c>
      <c r="W36">
        <f t="shared" ca="1" si="4"/>
        <v>100</v>
      </c>
      <c r="X36">
        <f t="shared" si="5"/>
        <v>100</v>
      </c>
      <c r="Y36">
        <f t="shared" si="6"/>
        <v>75</v>
      </c>
      <c r="Z36">
        <f t="shared" si="7"/>
        <v>50</v>
      </c>
      <c r="AA36">
        <f t="shared" ca="1" si="8"/>
        <v>100</v>
      </c>
      <c r="AB36">
        <f t="shared" si="9"/>
        <v>100</v>
      </c>
      <c r="AC36">
        <f t="shared" ca="1" si="10"/>
        <v>80</v>
      </c>
      <c r="AD36" t="str">
        <f t="shared" si="11"/>
        <v>Request Revision</v>
      </c>
    </row>
    <row r="37" spans="1:30">
      <c r="A37" t="s">
        <v>278</v>
      </c>
      <c r="B37" t="s">
        <v>279</v>
      </c>
      <c r="C37" t="s">
        <v>16</v>
      </c>
      <c r="D37" t="s">
        <v>21</v>
      </c>
      <c r="E37" t="s">
        <v>52</v>
      </c>
      <c r="F37" s="1">
        <v>0.8</v>
      </c>
      <c r="G37">
        <v>4.3</v>
      </c>
      <c r="H37">
        <v>87</v>
      </c>
      <c r="I37" t="s">
        <v>280</v>
      </c>
      <c r="J37" t="s">
        <v>281</v>
      </c>
      <c r="K37" t="s">
        <v>282</v>
      </c>
      <c r="L37" t="s">
        <v>283</v>
      </c>
      <c r="M37" t="s">
        <v>284</v>
      </c>
      <c r="N37" t="s">
        <v>285</v>
      </c>
      <c r="P37" s="3" t="s">
        <v>286</v>
      </c>
      <c r="Q37" s="3" t="s">
        <v>1161</v>
      </c>
      <c r="R37">
        <v>7</v>
      </c>
      <c r="S37">
        <f t="shared" ca="1" si="0"/>
        <v>20</v>
      </c>
      <c r="T37" s="4">
        <f t="shared" ca="1" si="1"/>
        <v>45306</v>
      </c>
      <c r="U37">
        <f t="shared" si="2"/>
        <v>75</v>
      </c>
      <c r="V37">
        <f t="shared" si="3"/>
        <v>50</v>
      </c>
      <c r="W37">
        <f t="shared" ca="1" si="4"/>
        <v>0</v>
      </c>
      <c r="X37">
        <f t="shared" si="5"/>
        <v>100</v>
      </c>
      <c r="Y37">
        <f t="shared" si="6"/>
        <v>75</v>
      </c>
      <c r="Z37">
        <f t="shared" si="7"/>
        <v>50</v>
      </c>
      <c r="AA37">
        <f t="shared" ca="1" si="8"/>
        <v>0</v>
      </c>
      <c r="AB37">
        <f t="shared" si="9"/>
        <v>100</v>
      </c>
      <c r="AC37">
        <f t="shared" ca="1" si="10"/>
        <v>55</v>
      </c>
      <c r="AD37" t="str">
        <f t="shared" si="11"/>
        <v>Request Revision</v>
      </c>
    </row>
    <row r="38" spans="1:30">
      <c r="A38" t="s">
        <v>1091</v>
      </c>
      <c r="B38" t="s">
        <v>1092</v>
      </c>
      <c r="C38" t="s">
        <v>803</v>
      </c>
      <c r="D38" t="s">
        <v>1093</v>
      </c>
      <c r="E38" t="s">
        <v>1094</v>
      </c>
      <c r="F38" s="1">
        <v>0.59</v>
      </c>
      <c r="G38">
        <v>4.2</v>
      </c>
      <c r="H38">
        <v>156</v>
      </c>
      <c r="I38" t="s">
        <v>1095</v>
      </c>
      <c r="J38" t="s">
        <v>1096</v>
      </c>
      <c r="K38" t="s">
        <v>1097</v>
      </c>
      <c r="L38" t="s">
        <v>1098</v>
      </c>
      <c r="M38" t="s">
        <v>1099</v>
      </c>
      <c r="N38" t="s">
        <v>1100</v>
      </c>
      <c r="O38" t="s">
        <v>1101</v>
      </c>
      <c r="P38" s="3" t="s">
        <v>1102</v>
      </c>
      <c r="Q38" s="3" t="s">
        <v>1162</v>
      </c>
      <c r="R38">
        <v>7</v>
      </c>
      <c r="S38">
        <f t="shared" ca="1" si="0"/>
        <v>16</v>
      </c>
      <c r="T38" s="4">
        <f t="shared" ca="1" si="1"/>
        <v>45305</v>
      </c>
      <c r="U38">
        <f t="shared" si="2"/>
        <v>100</v>
      </c>
      <c r="V38">
        <f t="shared" si="3"/>
        <v>100</v>
      </c>
      <c r="W38">
        <f t="shared" ca="1" si="4"/>
        <v>10</v>
      </c>
      <c r="X38">
        <f t="shared" si="5"/>
        <v>100</v>
      </c>
      <c r="Y38">
        <f t="shared" si="6"/>
        <v>100</v>
      </c>
      <c r="Z38">
        <f t="shared" si="7"/>
        <v>100</v>
      </c>
      <c r="AA38">
        <f t="shared" ca="1" si="8"/>
        <v>10</v>
      </c>
      <c r="AB38">
        <f t="shared" si="9"/>
        <v>100</v>
      </c>
      <c r="AC38">
        <f t="shared" ca="1" si="10"/>
        <v>77.5</v>
      </c>
      <c r="AD38" t="str">
        <f t="shared" si="11"/>
        <v>Approve</v>
      </c>
    </row>
    <row r="39" spans="1:30">
      <c r="A39" t="s">
        <v>242</v>
      </c>
      <c r="B39" t="s">
        <v>243</v>
      </c>
      <c r="C39" t="s">
        <v>225</v>
      </c>
      <c r="D39" t="s">
        <v>244</v>
      </c>
      <c r="E39" t="s">
        <v>245</v>
      </c>
      <c r="F39" s="1">
        <v>0.35</v>
      </c>
      <c r="G39">
        <v>4</v>
      </c>
      <c r="H39">
        <v>27</v>
      </c>
      <c r="I39" t="s">
        <v>246</v>
      </c>
      <c r="J39" t="s">
        <v>247</v>
      </c>
      <c r="K39" t="s">
        <v>248</v>
      </c>
      <c r="L39" t="s">
        <v>249</v>
      </c>
      <c r="M39" t="s">
        <v>250</v>
      </c>
      <c r="N39" t="s">
        <v>251</v>
      </c>
      <c r="O39" t="s">
        <v>252</v>
      </c>
      <c r="P39" s="3" t="s">
        <v>253</v>
      </c>
      <c r="Q39" s="3" t="s">
        <v>1163</v>
      </c>
      <c r="R39">
        <v>7</v>
      </c>
      <c r="S39">
        <f t="shared" ca="1" si="0"/>
        <v>4</v>
      </c>
      <c r="T39" s="4">
        <f t="shared" ca="1" si="1"/>
        <v>45293</v>
      </c>
      <c r="U39">
        <f t="shared" si="2"/>
        <v>100</v>
      </c>
      <c r="V39">
        <f t="shared" si="3"/>
        <v>100</v>
      </c>
      <c r="W39">
        <f t="shared" ca="1" si="4"/>
        <v>100</v>
      </c>
      <c r="X39">
        <f t="shared" si="5"/>
        <v>100</v>
      </c>
      <c r="Y39">
        <f t="shared" si="6"/>
        <v>100</v>
      </c>
      <c r="Z39">
        <f t="shared" si="7"/>
        <v>100</v>
      </c>
      <c r="AA39">
        <f t="shared" ca="1" si="8"/>
        <v>100</v>
      </c>
      <c r="AB39">
        <f t="shared" si="9"/>
        <v>100</v>
      </c>
      <c r="AC39">
        <f t="shared" ca="1" si="10"/>
        <v>100</v>
      </c>
      <c r="AD39" t="str">
        <f t="shared" si="11"/>
        <v>Approve</v>
      </c>
    </row>
    <row r="40" spans="1:30">
      <c r="A40" t="s">
        <v>458</v>
      </c>
      <c r="B40" t="s">
        <v>459</v>
      </c>
      <c r="C40" t="s">
        <v>360</v>
      </c>
      <c r="D40" t="s">
        <v>67</v>
      </c>
      <c r="E40" t="s">
        <v>173</v>
      </c>
      <c r="F40" s="1">
        <v>0.55000000000000004</v>
      </c>
      <c r="G40">
        <v>4.5999999999999996</v>
      </c>
      <c r="H40">
        <v>245</v>
      </c>
      <c r="I40" t="s">
        <v>460</v>
      </c>
      <c r="J40" t="s">
        <v>461</v>
      </c>
      <c r="K40" t="s">
        <v>462</v>
      </c>
      <c r="L40" t="s">
        <v>463</v>
      </c>
      <c r="M40" t="s">
        <v>464</v>
      </c>
      <c r="N40" t="s">
        <v>465</v>
      </c>
      <c r="O40" t="s">
        <v>786</v>
      </c>
      <c r="P40" s="3" t="s">
        <v>787</v>
      </c>
      <c r="Q40" s="3" t="s">
        <v>1164</v>
      </c>
      <c r="R40">
        <v>7</v>
      </c>
      <c r="S40">
        <f t="shared" ca="1" si="0"/>
        <v>12</v>
      </c>
      <c r="T40" s="4">
        <f t="shared" ca="1" si="1"/>
        <v>45296</v>
      </c>
      <c r="U40">
        <f t="shared" si="2"/>
        <v>100</v>
      </c>
      <c r="V40">
        <f t="shared" si="3"/>
        <v>100</v>
      </c>
      <c r="W40">
        <f t="shared" ca="1" si="4"/>
        <v>50</v>
      </c>
      <c r="X40">
        <f t="shared" si="5"/>
        <v>100</v>
      </c>
      <c r="Y40">
        <f t="shared" si="6"/>
        <v>100</v>
      </c>
      <c r="Z40">
        <f t="shared" si="7"/>
        <v>100</v>
      </c>
      <c r="AA40">
        <f t="shared" ca="1" si="8"/>
        <v>50</v>
      </c>
      <c r="AB40">
        <f t="shared" si="9"/>
        <v>100</v>
      </c>
      <c r="AC40">
        <f t="shared" ca="1" si="10"/>
        <v>87.5</v>
      </c>
      <c r="AD40" t="str">
        <f t="shared" si="11"/>
        <v>Approve</v>
      </c>
    </row>
    <row r="41" spans="1:30">
      <c r="A41" t="s">
        <v>437</v>
      </c>
      <c r="B41" t="s">
        <v>438</v>
      </c>
      <c r="C41" t="s">
        <v>403</v>
      </c>
      <c r="D41" t="s">
        <v>51</v>
      </c>
      <c r="E41" t="s">
        <v>91</v>
      </c>
      <c r="F41" s="1">
        <v>0.5</v>
      </c>
      <c r="G41">
        <v>4.3</v>
      </c>
      <c r="H41" s="2">
        <v>4674</v>
      </c>
      <c r="I41" t="s">
        <v>439</v>
      </c>
      <c r="J41" t="s">
        <v>440</v>
      </c>
      <c r="K41" t="s">
        <v>441</v>
      </c>
      <c r="L41" t="s">
        <v>442</v>
      </c>
      <c r="M41" t="s">
        <v>443</v>
      </c>
      <c r="N41" t="s">
        <v>444</v>
      </c>
      <c r="P41" s="3" t="s">
        <v>445</v>
      </c>
      <c r="Q41" s="3" t="s">
        <v>1165</v>
      </c>
      <c r="R41">
        <v>7</v>
      </c>
      <c r="S41">
        <f t="shared" ca="1" si="0"/>
        <v>3</v>
      </c>
      <c r="T41" s="4">
        <f t="shared" ca="1" si="1"/>
        <v>45311</v>
      </c>
      <c r="U41">
        <f t="shared" si="2"/>
        <v>75</v>
      </c>
      <c r="V41">
        <f t="shared" si="3"/>
        <v>50</v>
      </c>
      <c r="W41">
        <f t="shared" ca="1" si="4"/>
        <v>100</v>
      </c>
      <c r="X41">
        <f t="shared" si="5"/>
        <v>100</v>
      </c>
      <c r="Y41">
        <f t="shared" si="6"/>
        <v>75</v>
      </c>
      <c r="Z41">
        <f t="shared" si="7"/>
        <v>50</v>
      </c>
      <c r="AA41">
        <f t="shared" ca="1" si="8"/>
        <v>100</v>
      </c>
      <c r="AB41">
        <f t="shared" si="9"/>
        <v>100</v>
      </c>
      <c r="AC41">
        <f t="shared" ca="1" si="10"/>
        <v>80</v>
      </c>
      <c r="AD41" t="str">
        <f t="shared" si="11"/>
        <v>Request Revision</v>
      </c>
    </row>
    <row r="42" spans="1:30">
      <c r="A42" t="s">
        <v>384</v>
      </c>
      <c r="B42" t="s">
        <v>385</v>
      </c>
      <c r="C42" t="s">
        <v>372</v>
      </c>
      <c r="D42" t="s">
        <v>21</v>
      </c>
      <c r="E42" t="s">
        <v>44</v>
      </c>
      <c r="F42" s="1">
        <v>0.6</v>
      </c>
      <c r="G42">
        <v>4.0999999999999996</v>
      </c>
      <c r="H42" s="2">
        <v>1786</v>
      </c>
      <c r="I42" t="s">
        <v>386</v>
      </c>
      <c r="J42" t="s">
        <v>387</v>
      </c>
      <c r="K42" t="s">
        <v>388</v>
      </c>
      <c r="L42" t="s">
        <v>389</v>
      </c>
      <c r="M42" t="s">
        <v>390</v>
      </c>
      <c r="N42" t="s">
        <v>391</v>
      </c>
      <c r="P42" s="3" t="s">
        <v>392</v>
      </c>
      <c r="Q42" s="3" t="s">
        <v>1166</v>
      </c>
      <c r="R42">
        <v>7</v>
      </c>
      <c r="S42">
        <f t="shared" ca="1" si="0"/>
        <v>4</v>
      </c>
      <c r="T42" s="4">
        <f t="shared" ca="1" si="1"/>
        <v>45297</v>
      </c>
      <c r="U42">
        <f t="shared" si="2"/>
        <v>75</v>
      </c>
      <c r="V42">
        <f t="shared" si="3"/>
        <v>50</v>
      </c>
      <c r="W42">
        <f t="shared" ca="1" si="4"/>
        <v>100</v>
      </c>
      <c r="X42">
        <f t="shared" si="5"/>
        <v>100</v>
      </c>
      <c r="Y42">
        <f t="shared" si="6"/>
        <v>75</v>
      </c>
      <c r="Z42">
        <f t="shared" si="7"/>
        <v>50</v>
      </c>
      <c r="AA42">
        <f t="shared" ca="1" si="8"/>
        <v>100</v>
      </c>
      <c r="AB42">
        <f t="shared" si="9"/>
        <v>100</v>
      </c>
      <c r="AC42">
        <f t="shared" ca="1" si="10"/>
        <v>80</v>
      </c>
      <c r="AD42" t="str">
        <f t="shared" si="11"/>
        <v>Request Revision</v>
      </c>
    </row>
    <row r="43" spans="1:30">
      <c r="A43" t="s">
        <v>1080</v>
      </c>
      <c r="B43" t="s">
        <v>1081</v>
      </c>
      <c r="C43" t="s">
        <v>788</v>
      </c>
      <c r="D43" t="s">
        <v>1082</v>
      </c>
      <c r="E43" t="s">
        <v>846</v>
      </c>
      <c r="F43" s="1">
        <v>0.54</v>
      </c>
      <c r="G43">
        <v>4.0999999999999996</v>
      </c>
      <c r="H43" s="2">
        <v>1776</v>
      </c>
      <c r="I43" t="s">
        <v>1083</v>
      </c>
      <c r="J43" t="s">
        <v>1084</v>
      </c>
      <c r="K43" t="s">
        <v>1085</v>
      </c>
      <c r="L43" t="s">
        <v>1086</v>
      </c>
      <c r="M43" t="s">
        <v>1087</v>
      </c>
      <c r="N43" t="s">
        <v>1088</v>
      </c>
      <c r="O43" t="s">
        <v>1089</v>
      </c>
      <c r="P43" s="3" t="s">
        <v>1090</v>
      </c>
      <c r="Q43" s="3" t="s">
        <v>1167</v>
      </c>
      <c r="R43">
        <v>7</v>
      </c>
      <c r="S43">
        <f t="shared" ca="1" si="0"/>
        <v>20</v>
      </c>
      <c r="T43" s="4">
        <f t="shared" ca="1" si="1"/>
        <v>45311</v>
      </c>
      <c r="U43">
        <f t="shared" si="2"/>
        <v>100</v>
      </c>
      <c r="V43">
        <f t="shared" si="3"/>
        <v>50</v>
      </c>
      <c r="W43">
        <f t="shared" ca="1" si="4"/>
        <v>0</v>
      </c>
      <c r="X43">
        <f t="shared" si="5"/>
        <v>100</v>
      </c>
      <c r="Y43">
        <f t="shared" si="6"/>
        <v>100</v>
      </c>
      <c r="Z43">
        <f t="shared" si="7"/>
        <v>50</v>
      </c>
      <c r="AA43">
        <f t="shared" ca="1" si="8"/>
        <v>0</v>
      </c>
      <c r="AB43">
        <f t="shared" si="9"/>
        <v>100</v>
      </c>
      <c r="AC43">
        <f t="shared" ca="1" si="10"/>
        <v>62.5</v>
      </c>
      <c r="AD43" t="str">
        <f t="shared" si="11"/>
        <v>Approve</v>
      </c>
    </row>
    <row r="44" spans="1:30">
      <c r="A44" t="s">
        <v>177</v>
      </c>
      <c r="B44" t="s">
        <v>178</v>
      </c>
      <c r="C44" t="s">
        <v>121</v>
      </c>
      <c r="D44" t="s">
        <v>17</v>
      </c>
      <c r="E44" t="s">
        <v>84</v>
      </c>
      <c r="F44" s="1">
        <v>0.8</v>
      </c>
      <c r="G44">
        <v>4.5</v>
      </c>
      <c r="H44">
        <v>505</v>
      </c>
      <c r="I44" t="s">
        <v>1238</v>
      </c>
      <c r="J44" t="s">
        <v>179</v>
      </c>
      <c r="K44" t="s">
        <v>180</v>
      </c>
      <c r="L44" t="s">
        <v>181</v>
      </c>
      <c r="M44" t="s">
        <v>182</v>
      </c>
      <c r="N44" t="s">
        <v>183</v>
      </c>
      <c r="O44" t="s">
        <v>184</v>
      </c>
      <c r="P44" s="3" t="s">
        <v>185</v>
      </c>
      <c r="Q44" s="3" t="s">
        <v>1168</v>
      </c>
      <c r="R44">
        <v>7</v>
      </c>
      <c r="S44">
        <f t="shared" ca="1" si="0"/>
        <v>17</v>
      </c>
      <c r="T44" s="4">
        <f t="shared" ca="1" si="1"/>
        <v>45313</v>
      </c>
      <c r="U44">
        <f t="shared" si="2"/>
        <v>100</v>
      </c>
      <c r="V44">
        <f t="shared" si="3"/>
        <v>50</v>
      </c>
      <c r="W44">
        <f t="shared" ca="1" si="4"/>
        <v>0</v>
      </c>
      <c r="X44">
        <f t="shared" si="5"/>
        <v>100</v>
      </c>
      <c r="Y44">
        <f t="shared" si="6"/>
        <v>100</v>
      </c>
      <c r="Z44">
        <f t="shared" si="7"/>
        <v>50</v>
      </c>
      <c r="AA44">
        <f t="shared" ca="1" si="8"/>
        <v>0</v>
      </c>
      <c r="AB44">
        <f t="shared" si="9"/>
        <v>100</v>
      </c>
      <c r="AC44">
        <f t="shared" ca="1" si="10"/>
        <v>62.5</v>
      </c>
      <c r="AD44" t="str">
        <f t="shared" si="11"/>
        <v>Approve</v>
      </c>
    </row>
    <row r="45" spans="1:30">
      <c r="A45" t="s">
        <v>858</v>
      </c>
      <c r="B45" t="s">
        <v>859</v>
      </c>
      <c r="C45" t="s">
        <v>860</v>
      </c>
      <c r="D45" t="s">
        <v>861</v>
      </c>
      <c r="E45" t="s">
        <v>231</v>
      </c>
      <c r="F45" s="1">
        <v>0.47</v>
      </c>
      <c r="G45">
        <v>4.3</v>
      </c>
      <c r="H45" s="2">
        <v>1017</v>
      </c>
      <c r="I45" t="s">
        <v>862</v>
      </c>
      <c r="J45" t="s">
        <v>863</v>
      </c>
      <c r="K45" t="s">
        <v>864</v>
      </c>
      <c r="L45" t="s">
        <v>865</v>
      </c>
      <c r="M45" t="s">
        <v>866</v>
      </c>
      <c r="N45" t="s">
        <v>867</v>
      </c>
      <c r="O45" t="s">
        <v>868</v>
      </c>
      <c r="P45" s="3" t="s">
        <v>869</v>
      </c>
      <c r="Q45" s="3" t="s">
        <v>1169</v>
      </c>
      <c r="R45">
        <v>7</v>
      </c>
      <c r="S45">
        <f t="shared" ca="1" si="0"/>
        <v>7</v>
      </c>
      <c r="T45" s="4">
        <f t="shared" ca="1" si="1"/>
        <v>45319</v>
      </c>
      <c r="U45">
        <f t="shared" si="2"/>
        <v>100</v>
      </c>
      <c r="V45">
        <f t="shared" si="3"/>
        <v>100</v>
      </c>
      <c r="W45">
        <f t="shared" ca="1" si="4"/>
        <v>100</v>
      </c>
      <c r="X45">
        <f t="shared" si="5"/>
        <v>100</v>
      </c>
      <c r="Y45">
        <f t="shared" si="6"/>
        <v>100</v>
      </c>
      <c r="Z45">
        <f t="shared" si="7"/>
        <v>100</v>
      </c>
      <c r="AA45">
        <f t="shared" ca="1" si="8"/>
        <v>100</v>
      </c>
      <c r="AB45">
        <f t="shared" si="9"/>
        <v>100</v>
      </c>
      <c r="AC45">
        <f t="shared" ca="1" si="10"/>
        <v>100</v>
      </c>
      <c r="AD45" t="str">
        <f t="shared" si="11"/>
        <v>Approve</v>
      </c>
    </row>
    <row r="46" spans="1:30">
      <c r="A46" t="s">
        <v>1103</v>
      </c>
      <c r="B46" t="s">
        <v>1104</v>
      </c>
      <c r="C46" t="s">
        <v>893</v>
      </c>
      <c r="D46" t="s">
        <v>153</v>
      </c>
      <c r="E46" t="s">
        <v>833</v>
      </c>
      <c r="F46" s="1">
        <v>0.17</v>
      </c>
      <c r="G46">
        <v>4</v>
      </c>
      <c r="H46">
        <v>178</v>
      </c>
      <c r="I46" t="s">
        <v>1105</v>
      </c>
      <c r="J46" t="s">
        <v>1106</v>
      </c>
      <c r="K46" t="s">
        <v>1107</v>
      </c>
      <c r="L46" t="s">
        <v>1108</v>
      </c>
      <c r="M46" t="s">
        <v>1109</v>
      </c>
      <c r="N46" t="s">
        <v>1110</v>
      </c>
      <c r="O46" t="s">
        <v>1111</v>
      </c>
      <c r="P46" s="3" t="s">
        <v>1112</v>
      </c>
      <c r="Q46" s="3" t="s">
        <v>1170</v>
      </c>
      <c r="R46">
        <v>7</v>
      </c>
      <c r="S46">
        <f t="shared" ca="1" si="0"/>
        <v>15</v>
      </c>
      <c r="T46" s="4">
        <f t="shared" ca="1" si="1"/>
        <v>45312</v>
      </c>
      <c r="U46">
        <f t="shared" si="2"/>
        <v>100</v>
      </c>
      <c r="V46">
        <f t="shared" si="3"/>
        <v>100</v>
      </c>
      <c r="W46">
        <f t="shared" ca="1" si="4"/>
        <v>20</v>
      </c>
      <c r="X46">
        <f t="shared" si="5"/>
        <v>100</v>
      </c>
      <c r="Y46">
        <f t="shared" si="6"/>
        <v>100</v>
      </c>
      <c r="Z46">
        <f t="shared" si="7"/>
        <v>100</v>
      </c>
      <c r="AA46">
        <f t="shared" ca="1" si="8"/>
        <v>20</v>
      </c>
      <c r="AB46">
        <f t="shared" si="9"/>
        <v>100</v>
      </c>
      <c r="AC46">
        <f t="shared" ca="1" si="10"/>
        <v>80</v>
      </c>
      <c r="AD46" t="str">
        <f t="shared" si="11"/>
        <v>Approve</v>
      </c>
    </row>
    <row r="47" spans="1:30">
      <c r="A47" t="s">
        <v>561</v>
      </c>
      <c r="B47" t="s">
        <v>562</v>
      </c>
      <c r="C47" t="s">
        <v>427</v>
      </c>
      <c r="D47" t="s">
        <v>91</v>
      </c>
      <c r="E47" t="s">
        <v>145</v>
      </c>
      <c r="F47" s="1">
        <v>0.56999999999999995</v>
      </c>
      <c r="G47">
        <v>3.8</v>
      </c>
      <c r="H47" s="2">
        <v>60026</v>
      </c>
      <c r="I47" t="s">
        <v>563</v>
      </c>
      <c r="J47" t="s">
        <v>564</v>
      </c>
      <c r="K47" t="s">
        <v>565</v>
      </c>
      <c r="L47" t="s">
        <v>566</v>
      </c>
      <c r="M47" t="s">
        <v>567</v>
      </c>
      <c r="N47" t="s">
        <v>568</v>
      </c>
      <c r="O47" t="s">
        <v>569</v>
      </c>
      <c r="P47" s="3" t="s">
        <v>570</v>
      </c>
      <c r="Q47" s="3" t="s">
        <v>1171</v>
      </c>
      <c r="R47">
        <v>7</v>
      </c>
      <c r="S47">
        <f t="shared" ca="1" si="0"/>
        <v>4</v>
      </c>
      <c r="T47" s="4">
        <f t="shared" ca="1" si="1"/>
        <v>45297</v>
      </c>
      <c r="U47">
        <f t="shared" si="2"/>
        <v>100</v>
      </c>
      <c r="V47">
        <f t="shared" si="3"/>
        <v>100</v>
      </c>
      <c r="W47">
        <f t="shared" ca="1" si="4"/>
        <v>100</v>
      </c>
      <c r="X47">
        <f t="shared" si="5"/>
        <v>100</v>
      </c>
      <c r="Y47">
        <f t="shared" si="6"/>
        <v>100</v>
      </c>
      <c r="Z47">
        <f t="shared" si="7"/>
        <v>100</v>
      </c>
      <c r="AA47">
        <f t="shared" ca="1" si="8"/>
        <v>100</v>
      </c>
      <c r="AB47">
        <f t="shared" si="9"/>
        <v>100</v>
      </c>
      <c r="AC47">
        <f t="shared" ca="1" si="10"/>
        <v>100</v>
      </c>
      <c r="AD47" t="str">
        <f t="shared" si="11"/>
        <v>Approve</v>
      </c>
    </row>
    <row r="48" spans="1:30">
      <c r="A48" t="s">
        <v>194</v>
      </c>
      <c r="B48" t="s">
        <v>195</v>
      </c>
      <c r="C48" t="s">
        <v>54</v>
      </c>
      <c r="D48" t="s">
        <v>52</v>
      </c>
      <c r="E48" t="s">
        <v>196</v>
      </c>
      <c r="F48" s="1">
        <v>0.57999999999999996</v>
      </c>
      <c r="G48">
        <v>4.5999999999999996</v>
      </c>
      <c r="H48" s="2">
        <v>3664</v>
      </c>
      <c r="I48" t="s">
        <v>197</v>
      </c>
      <c r="J48" t="s">
        <v>198</v>
      </c>
      <c r="K48" t="s">
        <v>199</v>
      </c>
      <c r="L48" t="s">
        <v>200</v>
      </c>
      <c r="M48" t="s">
        <v>201</v>
      </c>
      <c r="N48" t="s">
        <v>202</v>
      </c>
      <c r="O48" t="s">
        <v>203</v>
      </c>
      <c r="P48" s="3" t="s">
        <v>204</v>
      </c>
      <c r="Q48" s="3" t="s">
        <v>1172</v>
      </c>
      <c r="R48">
        <v>7</v>
      </c>
      <c r="S48">
        <f t="shared" ca="1" si="0"/>
        <v>16</v>
      </c>
      <c r="T48" s="4">
        <f t="shared" ca="1" si="1"/>
        <v>45302</v>
      </c>
      <c r="U48">
        <f t="shared" si="2"/>
        <v>100</v>
      </c>
      <c r="V48">
        <f t="shared" si="3"/>
        <v>100</v>
      </c>
      <c r="W48">
        <f t="shared" ca="1" si="4"/>
        <v>10</v>
      </c>
      <c r="X48">
        <f t="shared" si="5"/>
        <v>100</v>
      </c>
      <c r="Y48">
        <f t="shared" si="6"/>
        <v>100</v>
      </c>
      <c r="Z48">
        <f t="shared" si="7"/>
        <v>100</v>
      </c>
      <c r="AA48">
        <f t="shared" ca="1" si="8"/>
        <v>10</v>
      </c>
      <c r="AB48">
        <f t="shared" si="9"/>
        <v>100</v>
      </c>
      <c r="AC48">
        <f t="shared" ca="1" si="10"/>
        <v>77.5</v>
      </c>
      <c r="AD48" t="str">
        <f t="shared" si="11"/>
        <v>Approve</v>
      </c>
    </row>
    <row r="49" spans="1:30">
      <c r="A49" t="s">
        <v>985</v>
      </c>
      <c r="B49" t="s">
        <v>986</v>
      </c>
      <c r="C49" t="s">
        <v>816</v>
      </c>
      <c r="D49" t="s">
        <v>916</v>
      </c>
      <c r="E49" t="s">
        <v>255</v>
      </c>
      <c r="F49" s="1">
        <v>0.55000000000000004</v>
      </c>
      <c r="G49">
        <v>4.0999999999999996</v>
      </c>
      <c r="H49">
        <v>925</v>
      </c>
      <c r="I49" t="s">
        <v>987</v>
      </c>
      <c r="J49" t="s">
        <v>988</v>
      </c>
      <c r="K49" t="s">
        <v>989</v>
      </c>
      <c r="L49" t="s">
        <v>990</v>
      </c>
      <c r="M49" t="s">
        <v>991</v>
      </c>
      <c r="N49" t="s">
        <v>992</v>
      </c>
      <c r="O49" t="s">
        <v>993</v>
      </c>
      <c r="P49" s="3" t="s">
        <v>994</v>
      </c>
      <c r="Q49" s="3" t="s">
        <v>1173</v>
      </c>
      <c r="R49">
        <v>7</v>
      </c>
      <c r="S49">
        <f t="shared" ca="1" si="0"/>
        <v>19</v>
      </c>
      <c r="T49" s="4">
        <f t="shared" ca="1" si="1"/>
        <v>45293</v>
      </c>
      <c r="U49">
        <f t="shared" si="2"/>
        <v>100</v>
      </c>
      <c r="V49">
        <f t="shared" si="3"/>
        <v>50</v>
      </c>
      <c r="W49">
        <f t="shared" ca="1" si="4"/>
        <v>0</v>
      </c>
      <c r="X49">
        <f t="shared" si="5"/>
        <v>100</v>
      </c>
      <c r="Y49">
        <f t="shared" si="6"/>
        <v>100</v>
      </c>
      <c r="Z49">
        <f t="shared" si="7"/>
        <v>50</v>
      </c>
      <c r="AA49">
        <f t="shared" ca="1" si="8"/>
        <v>0</v>
      </c>
      <c r="AB49">
        <f t="shared" si="9"/>
        <v>100</v>
      </c>
      <c r="AC49">
        <f t="shared" ca="1" si="10"/>
        <v>62.5</v>
      </c>
      <c r="AD49" t="str">
        <f t="shared" si="11"/>
        <v>Approve</v>
      </c>
    </row>
    <row r="50" spans="1:30">
      <c r="A50" t="s">
        <v>951</v>
      </c>
      <c r="B50" t="s">
        <v>952</v>
      </c>
      <c r="C50" t="s">
        <v>815</v>
      </c>
      <c r="D50" t="s">
        <v>404</v>
      </c>
      <c r="E50" t="s">
        <v>953</v>
      </c>
      <c r="F50" s="1">
        <v>0.47</v>
      </c>
      <c r="G50">
        <v>3.8</v>
      </c>
      <c r="H50" s="2">
        <v>8958</v>
      </c>
      <c r="I50" t="s">
        <v>954</v>
      </c>
      <c r="J50" t="s">
        <v>955</v>
      </c>
      <c r="K50" t="s">
        <v>956</v>
      </c>
      <c r="L50" t="s">
        <v>957</v>
      </c>
      <c r="M50" t="s">
        <v>958</v>
      </c>
      <c r="N50" t="s">
        <v>959</v>
      </c>
      <c r="O50" t="s">
        <v>960</v>
      </c>
      <c r="P50" s="3" t="s">
        <v>961</v>
      </c>
      <c r="Q50" s="3" t="s">
        <v>1174</v>
      </c>
      <c r="R50">
        <v>7</v>
      </c>
      <c r="S50">
        <f t="shared" ca="1" si="0"/>
        <v>12</v>
      </c>
      <c r="T50" s="4">
        <f t="shared" ca="1" si="1"/>
        <v>45302</v>
      </c>
      <c r="U50">
        <f t="shared" si="2"/>
        <v>100</v>
      </c>
      <c r="V50">
        <f t="shared" si="3"/>
        <v>100</v>
      </c>
      <c r="W50">
        <f t="shared" ca="1" si="4"/>
        <v>50</v>
      </c>
      <c r="X50">
        <f t="shared" si="5"/>
        <v>100</v>
      </c>
      <c r="Y50">
        <f t="shared" si="6"/>
        <v>100</v>
      </c>
      <c r="Z50">
        <f t="shared" si="7"/>
        <v>100</v>
      </c>
      <c r="AA50">
        <f t="shared" ca="1" si="8"/>
        <v>50</v>
      </c>
      <c r="AB50">
        <f t="shared" si="9"/>
        <v>100</v>
      </c>
      <c r="AC50">
        <f t="shared" ca="1" si="10"/>
        <v>87.5</v>
      </c>
      <c r="AD50" t="str">
        <f t="shared" si="11"/>
        <v>Approve</v>
      </c>
    </row>
    <row r="51" spans="1:30">
      <c r="A51" t="s">
        <v>602</v>
      </c>
      <c r="B51" t="s">
        <v>603</v>
      </c>
      <c r="C51" t="s">
        <v>300</v>
      </c>
      <c r="D51" t="s">
        <v>226</v>
      </c>
      <c r="E51" t="s">
        <v>257</v>
      </c>
      <c r="F51" s="1">
        <v>0.5</v>
      </c>
      <c r="G51">
        <v>3.9</v>
      </c>
      <c r="H51" s="2">
        <v>7571</v>
      </c>
      <c r="J51" t="s">
        <v>411</v>
      </c>
      <c r="K51" t="s">
        <v>412</v>
      </c>
      <c r="L51" t="s">
        <v>413</v>
      </c>
      <c r="M51" t="s">
        <v>414</v>
      </c>
      <c r="N51" t="s">
        <v>415</v>
      </c>
      <c r="P51" s="3" t="s">
        <v>604</v>
      </c>
      <c r="Q51" s="3" t="s">
        <v>1175</v>
      </c>
      <c r="R51">
        <v>7</v>
      </c>
      <c r="S51">
        <f t="shared" ca="1" si="0"/>
        <v>4</v>
      </c>
      <c r="T51" s="4">
        <f t="shared" ca="1" si="1"/>
        <v>45307</v>
      </c>
      <c r="U51">
        <f t="shared" si="2"/>
        <v>50</v>
      </c>
      <c r="V51">
        <f t="shared" si="3"/>
        <v>0</v>
      </c>
      <c r="W51">
        <f t="shared" ca="1" si="4"/>
        <v>100</v>
      </c>
      <c r="X51">
        <f t="shared" si="5"/>
        <v>100</v>
      </c>
      <c r="Y51">
        <f t="shared" si="6"/>
        <v>50</v>
      </c>
      <c r="Z51">
        <f t="shared" si="7"/>
        <v>0</v>
      </c>
      <c r="AA51">
        <f t="shared" ca="1" si="8"/>
        <v>100</v>
      </c>
      <c r="AB51">
        <f t="shared" si="9"/>
        <v>100</v>
      </c>
      <c r="AC51">
        <f t="shared" ca="1" si="10"/>
        <v>60</v>
      </c>
      <c r="AD51" t="str">
        <f t="shared" si="11"/>
        <v>Escalate to Sr. Analyst</v>
      </c>
    </row>
    <row r="52" spans="1:30">
      <c r="A52" t="s">
        <v>264</v>
      </c>
      <c r="B52" t="s">
        <v>265</v>
      </c>
      <c r="C52" t="s">
        <v>121</v>
      </c>
      <c r="D52" t="s">
        <v>266</v>
      </c>
      <c r="E52" t="s">
        <v>84</v>
      </c>
      <c r="F52" s="1">
        <v>0.6</v>
      </c>
      <c r="G52">
        <v>3</v>
      </c>
      <c r="H52">
        <v>103</v>
      </c>
      <c r="I52" t="s">
        <v>267</v>
      </c>
      <c r="J52" t="s">
        <v>268</v>
      </c>
      <c r="K52" t="s">
        <v>269</v>
      </c>
      <c r="L52" t="s">
        <v>270</v>
      </c>
      <c r="M52" t="s">
        <v>271</v>
      </c>
      <c r="N52" t="s">
        <v>272</v>
      </c>
      <c r="O52" t="s">
        <v>273</v>
      </c>
      <c r="P52" s="3" t="s">
        <v>274</v>
      </c>
      <c r="Q52" s="3" t="s">
        <v>1176</v>
      </c>
      <c r="R52">
        <v>7</v>
      </c>
      <c r="S52">
        <f t="shared" ca="1" si="0"/>
        <v>14</v>
      </c>
      <c r="T52" s="4">
        <f t="shared" ca="1" si="1"/>
        <v>45294</v>
      </c>
      <c r="U52">
        <f t="shared" si="2"/>
        <v>100</v>
      </c>
      <c r="V52">
        <f t="shared" si="3"/>
        <v>100</v>
      </c>
      <c r="W52">
        <f t="shared" ca="1" si="4"/>
        <v>30</v>
      </c>
      <c r="X52">
        <f t="shared" si="5"/>
        <v>100</v>
      </c>
      <c r="Y52">
        <f t="shared" si="6"/>
        <v>100</v>
      </c>
      <c r="Z52">
        <f t="shared" si="7"/>
        <v>100</v>
      </c>
      <c r="AA52">
        <f t="shared" ca="1" si="8"/>
        <v>30</v>
      </c>
      <c r="AB52">
        <f t="shared" si="9"/>
        <v>100</v>
      </c>
      <c r="AC52">
        <f t="shared" ca="1" si="10"/>
        <v>82.5</v>
      </c>
      <c r="AD52" t="str">
        <f t="shared" si="11"/>
        <v>Approve</v>
      </c>
    </row>
    <row r="53" spans="1:30">
      <c r="A53" t="s">
        <v>760</v>
      </c>
      <c r="B53" t="s">
        <v>761</v>
      </c>
      <c r="C53" t="s">
        <v>741</v>
      </c>
      <c r="D53" t="s">
        <v>277</v>
      </c>
      <c r="E53" t="s">
        <v>153</v>
      </c>
      <c r="F53" s="1">
        <v>0.34</v>
      </c>
      <c r="G53">
        <v>4.3</v>
      </c>
      <c r="H53" s="2">
        <v>14237</v>
      </c>
      <c r="I53" t="s">
        <v>762</v>
      </c>
      <c r="J53" t="s">
        <v>763</v>
      </c>
      <c r="K53" t="s">
        <v>764</v>
      </c>
      <c r="L53" t="s">
        <v>765</v>
      </c>
      <c r="M53" t="s">
        <v>766</v>
      </c>
      <c r="N53" t="s">
        <v>767</v>
      </c>
      <c r="O53" t="s">
        <v>768</v>
      </c>
      <c r="P53" s="3" t="s">
        <v>769</v>
      </c>
      <c r="Q53" s="3" t="s">
        <v>1177</v>
      </c>
      <c r="R53">
        <v>7</v>
      </c>
      <c r="S53">
        <f t="shared" ca="1" si="0"/>
        <v>11</v>
      </c>
      <c r="T53" s="4">
        <f t="shared" ca="1" si="1"/>
        <v>45314</v>
      </c>
      <c r="U53">
        <f t="shared" si="2"/>
        <v>100</v>
      </c>
      <c r="V53">
        <f t="shared" si="3"/>
        <v>100</v>
      </c>
      <c r="W53">
        <f t="shared" ca="1" si="4"/>
        <v>60</v>
      </c>
      <c r="X53">
        <f t="shared" si="5"/>
        <v>100</v>
      </c>
      <c r="Y53">
        <f t="shared" si="6"/>
        <v>100</v>
      </c>
      <c r="Z53">
        <f t="shared" si="7"/>
        <v>100</v>
      </c>
      <c r="AA53">
        <f t="shared" ca="1" si="8"/>
        <v>60</v>
      </c>
      <c r="AB53">
        <f t="shared" si="9"/>
        <v>100</v>
      </c>
      <c r="AC53">
        <f t="shared" ca="1" si="10"/>
        <v>90</v>
      </c>
      <c r="AD53" t="str">
        <f t="shared" si="11"/>
        <v>Approve</v>
      </c>
    </row>
    <row r="54" spans="1:30">
      <c r="A54" t="s">
        <v>1069</v>
      </c>
      <c r="B54" t="s">
        <v>1070</v>
      </c>
      <c r="C54" t="s">
        <v>917</v>
      </c>
      <c r="D54" t="s">
        <v>1071</v>
      </c>
      <c r="E54" t="s">
        <v>21</v>
      </c>
      <c r="F54" s="1">
        <v>0.56999999999999995</v>
      </c>
      <c r="G54">
        <v>4.0999999999999996</v>
      </c>
      <c r="H54">
        <v>212</v>
      </c>
      <c r="I54" t="s">
        <v>1072</v>
      </c>
      <c r="J54" t="s">
        <v>1073</v>
      </c>
      <c r="K54" t="s">
        <v>1074</v>
      </c>
      <c r="L54" t="s">
        <v>1075</v>
      </c>
      <c r="M54" t="s">
        <v>1076</v>
      </c>
      <c r="N54" t="s">
        <v>1077</v>
      </c>
      <c r="O54" t="s">
        <v>1078</v>
      </c>
      <c r="P54" s="3" t="s">
        <v>1079</v>
      </c>
      <c r="Q54" s="3" t="s">
        <v>1178</v>
      </c>
      <c r="R54">
        <v>7</v>
      </c>
      <c r="S54">
        <f t="shared" ca="1" si="0"/>
        <v>7</v>
      </c>
      <c r="T54" s="4">
        <f t="shared" ca="1" si="1"/>
        <v>45295</v>
      </c>
      <c r="U54">
        <f t="shared" si="2"/>
        <v>100</v>
      </c>
      <c r="V54">
        <f t="shared" si="3"/>
        <v>100</v>
      </c>
      <c r="W54">
        <f t="shared" ca="1" si="4"/>
        <v>100</v>
      </c>
      <c r="X54">
        <f t="shared" si="5"/>
        <v>100</v>
      </c>
      <c r="Y54">
        <f t="shared" si="6"/>
        <v>100</v>
      </c>
      <c r="Z54">
        <f t="shared" si="7"/>
        <v>100</v>
      </c>
      <c r="AA54">
        <f t="shared" ca="1" si="8"/>
        <v>100</v>
      </c>
      <c r="AB54">
        <f t="shared" si="9"/>
        <v>100</v>
      </c>
      <c r="AC54">
        <f t="shared" ca="1" si="10"/>
        <v>100</v>
      </c>
      <c r="AD54" t="str">
        <f t="shared" si="11"/>
        <v>Approve</v>
      </c>
    </row>
    <row r="55" spans="1:30">
      <c r="A55" t="s">
        <v>293</v>
      </c>
      <c r="B55" t="s">
        <v>294</v>
      </c>
      <c r="C55" t="s">
        <v>59</v>
      </c>
      <c r="D55" t="s">
        <v>295</v>
      </c>
      <c r="E55" t="s">
        <v>296</v>
      </c>
      <c r="F55" s="1">
        <v>0.46</v>
      </c>
      <c r="G55">
        <v>4.2</v>
      </c>
      <c r="H55" s="2">
        <v>1510</v>
      </c>
      <c r="I55" t="s">
        <v>297</v>
      </c>
      <c r="J55" t="s">
        <v>287</v>
      </c>
      <c r="K55" t="s">
        <v>288</v>
      </c>
      <c r="L55" t="s">
        <v>289</v>
      </c>
      <c r="M55" t="s">
        <v>290</v>
      </c>
      <c r="N55" t="s">
        <v>291</v>
      </c>
      <c r="O55" t="s">
        <v>298</v>
      </c>
      <c r="P55" s="3" t="s">
        <v>299</v>
      </c>
      <c r="Q55" s="3" t="s">
        <v>1179</v>
      </c>
      <c r="R55">
        <v>7</v>
      </c>
      <c r="S55">
        <f t="shared" ca="1" si="0"/>
        <v>19</v>
      </c>
      <c r="T55" s="4">
        <f t="shared" ca="1" si="1"/>
        <v>45304</v>
      </c>
      <c r="U55">
        <f t="shared" si="2"/>
        <v>100</v>
      </c>
      <c r="V55">
        <f t="shared" si="3"/>
        <v>100</v>
      </c>
      <c r="W55">
        <f t="shared" ca="1" si="4"/>
        <v>0</v>
      </c>
      <c r="X55">
        <f t="shared" si="5"/>
        <v>100</v>
      </c>
      <c r="Y55">
        <f t="shared" si="6"/>
        <v>100</v>
      </c>
      <c r="Z55">
        <f t="shared" si="7"/>
        <v>100</v>
      </c>
      <c r="AA55">
        <f t="shared" ca="1" si="8"/>
        <v>0</v>
      </c>
      <c r="AB55">
        <f t="shared" si="9"/>
        <v>100</v>
      </c>
      <c r="AC55">
        <f t="shared" ca="1" si="10"/>
        <v>75</v>
      </c>
      <c r="AD55" t="str">
        <f t="shared" si="11"/>
        <v>Approve</v>
      </c>
    </row>
    <row r="56" spans="1:30">
      <c r="A56" t="s">
        <v>1028</v>
      </c>
      <c r="B56" t="s">
        <v>1029</v>
      </c>
      <c r="C56" t="s">
        <v>894</v>
      </c>
      <c r="D56" t="s">
        <v>1030</v>
      </c>
      <c r="E56" t="s">
        <v>17</v>
      </c>
      <c r="F56" s="1">
        <v>0.52</v>
      </c>
      <c r="G56">
        <v>3.6</v>
      </c>
      <c r="H56">
        <v>37</v>
      </c>
      <c r="J56" t="s">
        <v>1031</v>
      </c>
      <c r="K56" t="s">
        <v>1032</v>
      </c>
      <c r="L56" t="s">
        <v>1033</v>
      </c>
      <c r="M56" t="s">
        <v>1034</v>
      </c>
      <c r="N56" t="s">
        <v>1035</v>
      </c>
      <c r="O56" t="s">
        <v>1036</v>
      </c>
      <c r="P56" s="3" t="s">
        <v>1037</v>
      </c>
      <c r="Q56" s="3" t="s">
        <v>1180</v>
      </c>
      <c r="R56">
        <v>7</v>
      </c>
      <c r="S56">
        <f t="shared" ca="1" si="0"/>
        <v>11</v>
      </c>
      <c r="T56" s="4">
        <f t="shared" ca="1" si="1"/>
        <v>45313</v>
      </c>
      <c r="U56">
        <f t="shared" si="2"/>
        <v>75</v>
      </c>
      <c r="V56">
        <f t="shared" si="3"/>
        <v>50</v>
      </c>
      <c r="W56">
        <f t="shared" ca="1" si="4"/>
        <v>60</v>
      </c>
      <c r="X56">
        <f t="shared" si="5"/>
        <v>100</v>
      </c>
      <c r="Y56">
        <f t="shared" si="6"/>
        <v>75</v>
      </c>
      <c r="Z56">
        <f t="shared" si="7"/>
        <v>50</v>
      </c>
      <c r="AA56">
        <f t="shared" ca="1" si="8"/>
        <v>60</v>
      </c>
      <c r="AB56">
        <f t="shared" si="9"/>
        <v>100</v>
      </c>
      <c r="AC56">
        <f t="shared" ca="1" si="10"/>
        <v>70</v>
      </c>
      <c r="AD56" t="str">
        <f t="shared" si="11"/>
        <v>Request Revision</v>
      </c>
    </row>
    <row r="57" spans="1:30">
      <c r="A57" t="s">
        <v>227</v>
      </c>
      <c r="B57" t="s">
        <v>228</v>
      </c>
      <c r="C57" t="s">
        <v>16</v>
      </c>
      <c r="D57" t="s">
        <v>229</v>
      </c>
      <c r="E57" t="s">
        <v>84</v>
      </c>
      <c r="F57" s="1">
        <v>0.53</v>
      </c>
      <c r="G57">
        <v>4.4000000000000004</v>
      </c>
      <c r="H57" s="2">
        <v>13552</v>
      </c>
      <c r="I57" t="s">
        <v>1239</v>
      </c>
      <c r="J57" t="s">
        <v>103</v>
      </c>
      <c r="K57" t="s">
        <v>104</v>
      </c>
      <c r="L57" t="s">
        <v>105</v>
      </c>
      <c r="M57" t="s">
        <v>106</v>
      </c>
      <c r="N57" t="s">
        <v>107</v>
      </c>
      <c r="P57" s="3" t="s">
        <v>230</v>
      </c>
      <c r="Q57" s="3" t="s">
        <v>1181</v>
      </c>
      <c r="R57">
        <v>7</v>
      </c>
      <c r="S57">
        <f t="shared" ca="1" si="0"/>
        <v>14</v>
      </c>
      <c r="T57" s="4">
        <f t="shared" ca="1" si="1"/>
        <v>45314</v>
      </c>
      <c r="U57">
        <f t="shared" si="2"/>
        <v>75</v>
      </c>
      <c r="V57">
        <f t="shared" si="3"/>
        <v>0</v>
      </c>
      <c r="W57">
        <f t="shared" ca="1" si="4"/>
        <v>30</v>
      </c>
      <c r="X57">
        <f t="shared" si="5"/>
        <v>100</v>
      </c>
      <c r="Y57">
        <f t="shared" si="6"/>
        <v>75</v>
      </c>
      <c r="Z57">
        <f t="shared" si="7"/>
        <v>0</v>
      </c>
      <c r="AA57">
        <f t="shared" ca="1" si="8"/>
        <v>30</v>
      </c>
      <c r="AB57">
        <f t="shared" si="9"/>
        <v>100</v>
      </c>
      <c r="AC57">
        <f t="shared" ca="1" si="10"/>
        <v>50</v>
      </c>
      <c r="AD57" t="str">
        <f t="shared" si="11"/>
        <v>Request Revision</v>
      </c>
    </row>
    <row r="58" spans="1:30">
      <c r="A58" t="s">
        <v>19</v>
      </c>
      <c r="B58" t="s">
        <v>20</v>
      </c>
      <c r="C58" t="s">
        <v>16</v>
      </c>
      <c r="D58" t="s">
        <v>21</v>
      </c>
      <c r="E58" t="s">
        <v>22</v>
      </c>
      <c r="F58" s="1">
        <v>0.43</v>
      </c>
      <c r="G58">
        <v>4</v>
      </c>
      <c r="H58" s="2">
        <v>43994</v>
      </c>
      <c r="I58" t="s">
        <v>23</v>
      </c>
      <c r="J58" t="s">
        <v>24</v>
      </c>
      <c r="K58" t="s">
        <v>25</v>
      </c>
      <c r="L58" t="s">
        <v>26</v>
      </c>
      <c r="M58" t="s">
        <v>27</v>
      </c>
      <c r="N58" t="s">
        <v>28</v>
      </c>
      <c r="P58" s="3" t="s">
        <v>29</v>
      </c>
      <c r="Q58" s="3" t="s">
        <v>1182</v>
      </c>
      <c r="R58">
        <v>7</v>
      </c>
      <c r="S58">
        <f t="shared" ca="1" si="0"/>
        <v>5</v>
      </c>
      <c r="T58" s="4">
        <f t="shared" ca="1" si="1"/>
        <v>45302</v>
      </c>
      <c r="U58">
        <f t="shared" si="2"/>
        <v>75</v>
      </c>
      <c r="V58">
        <f t="shared" si="3"/>
        <v>50</v>
      </c>
      <c r="W58">
        <f t="shared" ca="1" si="4"/>
        <v>100</v>
      </c>
      <c r="X58">
        <f t="shared" si="5"/>
        <v>100</v>
      </c>
      <c r="Y58">
        <f t="shared" si="6"/>
        <v>75</v>
      </c>
      <c r="Z58">
        <f t="shared" si="7"/>
        <v>50</v>
      </c>
      <c r="AA58">
        <f t="shared" ca="1" si="8"/>
        <v>100</v>
      </c>
      <c r="AB58">
        <f t="shared" si="9"/>
        <v>100</v>
      </c>
      <c r="AC58">
        <f t="shared" ca="1" si="10"/>
        <v>80</v>
      </c>
      <c r="AD58" t="str">
        <f t="shared" si="11"/>
        <v>Request Revision</v>
      </c>
    </row>
    <row r="59" spans="1:30">
      <c r="A59" t="s">
        <v>940</v>
      </c>
      <c r="B59" t="s">
        <v>941</v>
      </c>
      <c r="C59" t="s">
        <v>818</v>
      </c>
      <c r="D59" t="s">
        <v>942</v>
      </c>
      <c r="E59" t="s">
        <v>906</v>
      </c>
      <c r="F59" s="1">
        <v>0.28000000000000003</v>
      </c>
      <c r="G59">
        <v>4.4000000000000004</v>
      </c>
      <c r="H59" s="2">
        <v>1964</v>
      </c>
      <c r="I59" t="s">
        <v>943</v>
      </c>
      <c r="J59" t="s">
        <v>944</v>
      </c>
      <c r="K59" t="s">
        <v>945</v>
      </c>
      <c r="L59" t="s">
        <v>946</v>
      </c>
      <c r="M59" t="s">
        <v>947</v>
      </c>
      <c r="N59" t="s">
        <v>948</v>
      </c>
      <c r="O59" t="s">
        <v>949</v>
      </c>
      <c r="P59" s="3" t="s">
        <v>950</v>
      </c>
      <c r="Q59" s="3" t="s">
        <v>1183</v>
      </c>
      <c r="R59">
        <v>7</v>
      </c>
      <c r="S59">
        <f t="shared" ca="1" si="0"/>
        <v>19</v>
      </c>
      <c r="T59" s="4">
        <f t="shared" ca="1" si="1"/>
        <v>45298</v>
      </c>
      <c r="U59">
        <f t="shared" si="2"/>
        <v>100</v>
      </c>
      <c r="V59">
        <f t="shared" si="3"/>
        <v>100</v>
      </c>
      <c r="W59">
        <f t="shared" ca="1" si="4"/>
        <v>0</v>
      </c>
      <c r="X59">
        <f t="shared" si="5"/>
        <v>100</v>
      </c>
      <c r="Y59">
        <f t="shared" si="6"/>
        <v>100</v>
      </c>
      <c r="Z59">
        <f t="shared" si="7"/>
        <v>100</v>
      </c>
      <c r="AA59">
        <f t="shared" ca="1" si="8"/>
        <v>0</v>
      </c>
      <c r="AB59">
        <f t="shared" si="9"/>
        <v>100</v>
      </c>
      <c r="AC59">
        <f t="shared" ca="1" si="10"/>
        <v>75</v>
      </c>
      <c r="AD59" t="str">
        <f t="shared" si="11"/>
        <v>Approve</v>
      </c>
    </row>
    <row r="60" spans="1:30">
      <c r="A60" t="s">
        <v>625</v>
      </c>
      <c r="B60" t="s">
        <v>626</v>
      </c>
      <c r="C60" t="s">
        <v>627</v>
      </c>
      <c r="D60" t="s">
        <v>176</v>
      </c>
      <c r="E60" t="s">
        <v>52</v>
      </c>
      <c r="F60" s="1">
        <v>0.55000000000000004</v>
      </c>
      <c r="G60">
        <v>4.4000000000000004</v>
      </c>
      <c r="H60" s="2">
        <v>9940</v>
      </c>
      <c r="I60" t="s">
        <v>628</v>
      </c>
      <c r="J60" t="s">
        <v>629</v>
      </c>
      <c r="K60" t="s">
        <v>630</v>
      </c>
      <c r="L60" t="s">
        <v>631</v>
      </c>
      <c r="M60" t="s">
        <v>632</v>
      </c>
      <c r="N60" t="s">
        <v>633</v>
      </c>
      <c r="O60" t="s">
        <v>634</v>
      </c>
      <c r="P60" s="3" t="s">
        <v>635</v>
      </c>
      <c r="Q60" s="3" t="s">
        <v>1184</v>
      </c>
      <c r="R60">
        <v>7</v>
      </c>
      <c r="S60">
        <f t="shared" ca="1" si="0"/>
        <v>4</v>
      </c>
      <c r="T60" s="4">
        <f t="shared" ca="1" si="1"/>
        <v>45304</v>
      </c>
      <c r="U60">
        <f t="shared" si="2"/>
        <v>100</v>
      </c>
      <c r="V60">
        <f t="shared" si="3"/>
        <v>100</v>
      </c>
      <c r="W60">
        <f t="shared" ca="1" si="4"/>
        <v>100</v>
      </c>
      <c r="X60">
        <f t="shared" si="5"/>
        <v>100</v>
      </c>
      <c r="Y60">
        <f t="shared" si="6"/>
        <v>100</v>
      </c>
      <c r="Z60">
        <f t="shared" si="7"/>
        <v>100</v>
      </c>
      <c r="AA60">
        <f t="shared" ca="1" si="8"/>
        <v>100</v>
      </c>
      <c r="AB60">
        <f t="shared" si="9"/>
        <v>100</v>
      </c>
      <c r="AC60">
        <f t="shared" ca="1" si="10"/>
        <v>100</v>
      </c>
      <c r="AD60" t="str">
        <f t="shared" si="11"/>
        <v>Approve</v>
      </c>
    </row>
    <row r="61" spans="1:30">
      <c r="A61" t="s">
        <v>361</v>
      </c>
      <c r="B61" t="s">
        <v>362</v>
      </c>
      <c r="C61" t="s">
        <v>314</v>
      </c>
      <c r="D61" t="s">
        <v>363</v>
      </c>
      <c r="E61" t="s">
        <v>146</v>
      </c>
      <c r="F61" s="1">
        <v>0.65</v>
      </c>
      <c r="G61">
        <v>4.0999999999999996</v>
      </c>
      <c r="H61" s="2">
        <v>8599</v>
      </c>
      <c r="I61" t="s">
        <v>364</v>
      </c>
      <c r="J61" t="s">
        <v>365</v>
      </c>
      <c r="K61" t="s">
        <v>366</v>
      </c>
      <c r="L61" t="s">
        <v>367</v>
      </c>
      <c r="M61" t="s">
        <v>368</v>
      </c>
      <c r="N61" t="s">
        <v>369</v>
      </c>
      <c r="O61" t="s">
        <v>370</v>
      </c>
      <c r="P61" s="3" t="s">
        <v>371</v>
      </c>
      <c r="Q61" s="3" t="s">
        <v>1185</v>
      </c>
      <c r="R61">
        <v>7</v>
      </c>
      <c r="S61">
        <f t="shared" ca="1" si="0"/>
        <v>20</v>
      </c>
      <c r="T61" s="4">
        <f t="shared" ca="1" si="1"/>
        <v>45299</v>
      </c>
      <c r="U61">
        <f t="shared" si="2"/>
        <v>100</v>
      </c>
      <c r="V61">
        <f t="shared" si="3"/>
        <v>100</v>
      </c>
      <c r="W61">
        <f t="shared" ca="1" si="4"/>
        <v>0</v>
      </c>
      <c r="X61">
        <f t="shared" si="5"/>
        <v>100</v>
      </c>
      <c r="Y61">
        <f t="shared" si="6"/>
        <v>100</v>
      </c>
      <c r="Z61">
        <f t="shared" si="7"/>
        <v>100</v>
      </c>
      <c r="AA61">
        <f t="shared" ca="1" si="8"/>
        <v>0</v>
      </c>
      <c r="AB61">
        <f t="shared" si="9"/>
        <v>100</v>
      </c>
      <c r="AC61">
        <f t="shared" ca="1" si="10"/>
        <v>75</v>
      </c>
      <c r="AD61" t="str">
        <f t="shared" si="11"/>
        <v>Approve</v>
      </c>
    </row>
    <row r="62" spans="1:30">
      <c r="A62" t="s">
        <v>929</v>
      </c>
      <c r="B62" t="s">
        <v>930</v>
      </c>
      <c r="C62" t="s">
        <v>819</v>
      </c>
      <c r="D62" t="s">
        <v>931</v>
      </c>
      <c r="E62" t="s">
        <v>120</v>
      </c>
      <c r="F62" s="1">
        <v>0.41</v>
      </c>
      <c r="G62">
        <v>4.3</v>
      </c>
      <c r="H62" s="2">
        <v>5911</v>
      </c>
      <c r="I62" t="s">
        <v>932</v>
      </c>
      <c r="J62" t="s">
        <v>933</v>
      </c>
      <c r="K62" t="s">
        <v>934</v>
      </c>
      <c r="L62" t="s">
        <v>935</v>
      </c>
      <c r="M62" t="s">
        <v>936</v>
      </c>
      <c r="N62" t="s">
        <v>937</v>
      </c>
      <c r="O62" t="s">
        <v>938</v>
      </c>
      <c r="P62" s="3" t="s">
        <v>939</v>
      </c>
      <c r="Q62" s="3" t="s">
        <v>1186</v>
      </c>
      <c r="R62">
        <v>7</v>
      </c>
      <c r="S62">
        <f t="shared" ca="1" si="0"/>
        <v>15</v>
      </c>
      <c r="T62" s="4">
        <f t="shared" ca="1" si="1"/>
        <v>45296</v>
      </c>
      <c r="U62">
        <f t="shared" si="2"/>
        <v>100</v>
      </c>
      <c r="V62">
        <f t="shared" si="3"/>
        <v>50</v>
      </c>
      <c r="W62">
        <f t="shared" ca="1" si="4"/>
        <v>20</v>
      </c>
      <c r="X62">
        <f t="shared" si="5"/>
        <v>100</v>
      </c>
      <c r="Y62">
        <f t="shared" si="6"/>
        <v>100</v>
      </c>
      <c r="Z62">
        <f t="shared" si="7"/>
        <v>50</v>
      </c>
      <c r="AA62">
        <f t="shared" ca="1" si="8"/>
        <v>20</v>
      </c>
      <c r="AB62">
        <f t="shared" si="9"/>
        <v>100</v>
      </c>
      <c r="AC62">
        <f t="shared" ca="1" si="10"/>
        <v>67.5</v>
      </c>
      <c r="AD62" t="str">
        <f t="shared" si="11"/>
        <v>Approve</v>
      </c>
    </row>
    <row r="63" spans="1:30">
      <c r="A63" t="s">
        <v>479</v>
      </c>
      <c r="B63" t="s">
        <v>480</v>
      </c>
      <c r="C63" t="s">
        <v>466</v>
      </c>
      <c r="D63" t="s">
        <v>51</v>
      </c>
      <c r="E63" t="s">
        <v>276</v>
      </c>
      <c r="F63" s="1">
        <v>0.54</v>
      </c>
      <c r="G63">
        <v>4.5</v>
      </c>
      <c r="H63" s="2">
        <v>33176</v>
      </c>
      <c r="I63" t="s">
        <v>481</v>
      </c>
      <c r="J63" t="s">
        <v>482</v>
      </c>
      <c r="K63" t="s">
        <v>483</v>
      </c>
      <c r="L63" t="s">
        <v>484</v>
      </c>
      <c r="M63" t="s">
        <v>485</v>
      </c>
      <c r="N63" t="s">
        <v>486</v>
      </c>
      <c r="P63" s="3" t="s">
        <v>487</v>
      </c>
      <c r="Q63" s="3" t="s">
        <v>1187</v>
      </c>
      <c r="R63">
        <v>7</v>
      </c>
      <c r="S63">
        <f t="shared" ca="1" si="0"/>
        <v>13</v>
      </c>
      <c r="T63" s="4">
        <f t="shared" ca="1" si="1"/>
        <v>45319</v>
      </c>
      <c r="U63">
        <f t="shared" si="2"/>
        <v>75</v>
      </c>
      <c r="V63">
        <f t="shared" si="3"/>
        <v>50</v>
      </c>
      <c r="W63">
        <f t="shared" ca="1" si="4"/>
        <v>40</v>
      </c>
      <c r="X63">
        <f t="shared" si="5"/>
        <v>100</v>
      </c>
      <c r="Y63">
        <f t="shared" si="6"/>
        <v>75</v>
      </c>
      <c r="Z63">
        <f t="shared" si="7"/>
        <v>50</v>
      </c>
      <c r="AA63">
        <f t="shared" ca="1" si="8"/>
        <v>40</v>
      </c>
      <c r="AB63">
        <f t="shared" si="9"/>
        <v>100</v>
      </c>
      <c r="AC63">
        <f t="shared" ca="1" si="10"/>
        <v>65</v>
      </c>
      <c r="AD63" t="str">
        <f t="shared" si="11"/>
        <v>Request Revision</v>
      </c>
    </row>
    <row r="64" spans="1:30">
      <c r="A64" t="s">
        <v>677</v>
      </c>
      <c r="B64" t="s">
        <v>678</v>
      </c>
      <c r="C64" t="s">
        <v>500</v>
      </c>
      <c r="D64" t="s">
        <v>679</v>
      </c>
      <c r="E64" t="s">
        <v>680</v>
      </c>
      <c r="F64" s="1">
        <v>0.22</v>
      </c>
      <c r="G64">
        <v>4.4000000000000004</v>
      </c>
      <c r="H64" s="2">
        <v>25006</v>
      </c>
      <c r="I64" t="s">
        <v>681</v>
      </c>
      <c r="J64" t="s">
        <v>682</v>
      </c>
      <c r="K64" t="s">
        <v>683</v>
      </c>
      <c r="L64" t="s">
        <v>684</v>
      </c>
      <c r="M64" t="s">
        <v>685</v>
      </c>
      <c r="N64" t="s">
        <v>686</v>
      </c>
      <c r="P64" s="3" t="s">
        <v>687</v>
      </c>
      <c r="Q64" s="3" t="s">
        <v>1188</v>
      </c>
      <c r="R64">
        <v>7</v>
      </c>
      <c r="S64">
        <f t="shared" ca="1" si="0"/>
        <v>18</v>
      </c>
      <c r="T64" s="4">
        <f t="shared" ca="1" si="1"/>
        <v>45316</v>
      </c>
      <c r="U64">
        <f t="shared" si="2"/>
        <v>75</v>
      </c>
      <c r="V64">
        <f t="shared" si="3"/>
        <v>50</v>
      </c>
      <c r="W64">
        <f t="shared" ca="1" si="4"/>
        <v>0</v>
      </c>
      <c r="X64">
        <f t="shared" si="5"/>
        <v>100</v>
      </c>
      <c r="Y64">
        <f t="shared" si="6"/>
        <v>75</v>
      </c>
      <c r="Z64">
        <f t="shared" si="7"/>
        <v>50</v>
      </c>
      <c r="AA64">
        <f t="shared" ca="1" si="8"/>
        <v>0</v>
      </c>
      <c r="AB64">
        <f t="shared" si="9"/>
        <v>100</v>
      </c>
      <c r="AC64">
        <f t="shared" ca="1" si="10"/>
        <v>55</v>
      </c>
      <c r="AD64" t="str">
        <f t="shared" si="11"/>
        <v>Request Revision</v>
      </c>
    </row>
    <row r="65" spans="1:30">
      <c r="A65" t="s">
        <v>1048</v>
      </c>
      <c r="B65" t="s">
        <v>1049</v>
      </c>
      <c r="C65" t="s">
        <v>815</v>
      </c>
      <c r="D65" t="s">
        <v>132</v>
      </c>
      <c r="E65" t="s">
        <v>1050</v>
      </c>
      <c r="F65" s="1">
        <v>0.44</v>
      </c>
      <c r="G65">
        <v>3.9</v>
      </c>
      <c r="H65" s="2">
        <v>1085</v>
      </c>
      <c r="I65" t="s">
        <v>1051</v>
      </c>
      <c r="J65" t="s">
        <v>1052</v>
      </c>
      <c r="K65" t="s">
        <v>1053</v>
      </c>
      <c r="L65" t="s">
        <v>1054</v>
      </c>
      <c r="M65" t="s">
        <v>1055</v>
      </c>
      <c r="N65" t="s">
        <v>1056</v>
      </c>
      <c r="O65" t="s">
        <v>1057</v>
      </c>
      <c r="P65" s="3" t="s">
        <v>1058</v>
      </c>
      <c r="Q65" s="3" t="s">
        <v>1189</v>
      </c>
      <c r="R65">
        <v>7</v>
      </c>
      <c r="S65">
        <f t="shared" ca="1" si="0"/>
        <v>9</v>
      </c>
      <c r="T65" s="4">
        <f t="shared" ca="1" si="1"/>
        <v>45319</v>
      </c>
      <c r="U65">
        <f t="shared" si="2"/>
        <v>100</v>
      </c>
      <c r="V65">
        <f t="shared" si="3"/>
        <v>100</v>
      </c>
      <c r="W65">
        <f t="shared" ca="1" si="4"/>
        <v>80</v>
      </c>
      <c r="X65">
        <f t="shared" si="5"/>
        <v>100</v>
      </c>
      <c r="Y65">
        <f t="shared" si="6"/>
        <v>100</v>
      </c>
      <c r="Z65">
        <f t="shared" si="7"/>
        <v>100</v>
      </c>
      <c r="AA65">
        <f t="shared" ca="1" si="8"/>
        <v>80</v>
      </c>
      <c r="AB65">
        <f t="shared" si="9"/>
        <v>100</v>
      </c>
      <c r="AC65">
        <f t="shared" ca="1" si="10"/>
        <v>95</v>
      </c>
      <c r="AD65" t="str">
        <f t="shared" si="11"/>
        <v>Approve</v>
      </c>
    </row>
    <row r="66" spans="1:30">
      <c r="A66" t="s">
        <v>1004</v>
      </c>
      <c r="B66" t="s">
        <v>1005</v>
      </c>
      <c r="C66" t="s">
        <v>857</v>
      </c>
      <c r="D66" t="s">
        <v>1006</v>
      </c>
      <c r="E66" t="s">
        <v>1007</v>
      </c>
      <c r="F66" s="1">
        <v>0.24</v>
      </c>
      <c r="G66">
        <v>4</v>
      </c>
      <c r="H66" s="2">
        <v>15382</v>
      </c>
      <c r="I66" t="s">
        <v>1008</v>
      </c>
      <c r="J66" t="s">
        <v>1009</v>
      </c>
      <c r="K66" t="s">
        <v>1010</v>
      </c>
      <c r="L66" t="s">
        <v>1011</v>
      </c>
      <c r="M66" t="s">
        <v>1012</v>
      </c>
      <c r="N66" t="s">
        <v>1013</v>
      </c>
      <c r="O66" t="s">
        <v>1014</v>
      </c>
      <c r="P66" s="3" t="s">
        <v>1015</v>
      </c>
      <c r="Q66" s="3" t="s">
        <v>1190</v>
      </c>
      <c r="R66">
        <v>7</v>
      </c>
      <c r="S66">
        <f t="shared" ca="1" si="0"/>
        <v>14</v>
      </c>
      <c r="T66" s="4">
        <f t="shared" ca="1" si="1"/>
        <v>45305</v>
      </c>
      <c r="U66">
        <f t="shared" si="2"/>
        <v>100</v>
      </c>
      <c r="V66">
        <f t="shared" si="3"/>
        <v>100</v>
      </c>
      <c r="W66">
        <f t="shared" ca="1" si="4"/>
        <v>30</v>
      </c>
      <c r="X66">
        <f t="shared" si="5"/>
        <v>100</v>
      </c>
      <c r="Y66">
        <f t="shared" si="6"/>
        <v>100</v>
      </c>
      <c r="Z66">
        <f t="shared" si="7"/>
        <v>100</v>
      </c>
      <c r="AA66">
        <f t="shared" ca="1" si="8"/>
        <v>30</v>
      </c>
      <c r="AB66">
        <f t="shared" si="9"/>
        <v>100</v>
      </c>
      <c r="AC66">
        <f t="shared" ca="1" si="10"/>
        <v>82.5</v>
      </c>
      <c r="AD66" t="str">
        <f t="shared" si="11"/>
        <v>Approve</v>
      </c>
    </row>
    <row r="67" spans="1:30">
      <c r="A67" t="s">
        <v>1016</v>
      </c>
      <c r="B67" t="s">
        <v>1017</v>
      </c>
      <c r="C67" t="s">
        <v>819</v>
      </c>
      <c r="D67" t="s">
        <v>1018</v>
      </c>
      <c r="E67" t="s">
        <v>1019</v>
      </c>
      <c r="F67" s="1">
        <v>0.22</v>
      </c>
      <c r="G67">
        <v>4.2</v>
      </c>
      <c r="H67" s="2">
        <v>7274</v>
      </c>
      <c r="I67" t="s">
        <v>1020</v>
      </c>
      <c r="J67" t="s">
        <v>1021</v>
      </c>
      <c r="K67" t="s">
        <v>1022</v>
      </c>
      <c r="L67" t="s">
        <v>1023</v>
      </c>
      <c r="M67" t="s">
        <v>1024</v>
      </c>
      <c r="N67" t="s">
        <v>1025</v>
      </c>
      <c r="O67" t="s">
        <v>1026</v>
      </c>
      <c r="P67" s="3" t="s">
        <v>1027</v>
      </c>
      <c r="Q67" s="3" t="s">
        <v>1191</v>
      </c>
      <c r="R67">
        <v>7</v>
      </c>
      <c r="S67">
        <f t="shared" ref="S67:S101" ca="1" si="12">RANDBETWEEN(1,20)</f>
        <v>1</v>
      </c>
      <c r="T67" s="4">
        <f t="shared" ref="T67:T101" ca="1" si="13">DATE(2024,1,RANDBETWEEN(1,28))</f>
        <v>45311</v>
      </c>
      <c r="U67">
        <f t="shared" ref="U67:U101" si="14">((LEN(TRIM(B67))&gt;0)+(LEN(TRIM(C67))&gt;0)+(LEN(TRIM(I67))&gt;0)+(LEN(TRIM(O67))&gt;0))*25</f>
        <v>100</v>
      </c>
      <c r="V67">
        <f t="shared" ref="V67:V101" si="15">IF(LEN(TRIM(O67))&gt;0,50,0)+IF(LEN(TRIM(I67))&gt;100,50,0)</f>
        <v>100</v>
      </c>
      <c r="W67">
        <f t="shared" ref="W67:W101" ca="1" si="16">IF(S67&lt;=R67,100,MAX(0,100-((S67-R67)*10)))</f>
        <v>100</v>
      </c>
      <c r="X67">
        <f t="shared" ref="X67:X101" si="17">IF(LEN(TRIM(C67))&gt;20,70,40)+IF(H67&gt;=4,30,0)</f>
        <v>100</v>
      </c>
      <c r="Y67">
        <f t="shared" ref="Y67:Y101" si="18">((LEN(TRIM(B67))&gt;0)+(LEN(TRIM(C67))&gt;0)+(LEN(TRIM(I67))&gt;0)+(LEN(TRIM(O67))&gt;0))*25</f>
        <v>100</v>
      </c>
      <c r="Z67">
        <f t="shared" ref="Z67:Z101" si="19">IF(LEN(TRIM(O67))&gt;0,50,0)+IF(LEN(TRIM(I67))&gt;100,50,0)</f>
        <v>100</v>
      </c>
      <c r="AA67">
        <f t="shared" ref="AA67:AA101" ca="1" si="20">IF(S67&lt;=R67,100,MAX(0,100-((S67-R67)*10)))</f>
        <v>100</v>
      </c>
      <c r="AB67">
        <f t="shared" ref="AB67:AB101" si="21">IF(LEN(TRIM(C67))&gt;20,70,40)+IF(H67&gt;=4,30,0)</f>
        <v>100</v>
      </c>
      <c r="AC67">
        <f t="shared" ref="AC67:AC101" ca="1" si="22">(U67*0.3)+(V67*0.25)+(W67*0.25)+(X67*0.2)</f>
        <v>100</v>
      </c>
      <c r="AD67" t="str">
        <f t="shared" ref="AD67:AD101" si="23">IF(Y67&gt;=80,"Approve",IF(Y67&gt;=65,"Request Revision","Escalate to Sr. Analyst"))</f>
        <v>Approve</v>
      </c>
    </row>
    <row r="68" spans="1:30">
      <c r="A68" t="s">
        <v>92</v>
      </c>
      <c r="B68" t="s">
        <v>93</v>
      </c>
      <c r="C68" t="s">
        <v>16</v>
      </c>
      <c r="D68" t="s">
        <v>21</v>
      </c>
      <c r="E68" t="s">
        <v>52</v>
      </c>
      <c r="F68" s="1">
        <v>0.8</v>
      </c>
      <c r="G68">
        <v>3.9</v>
      </c>
      <c r="H68" s="2">
        <v>1075</v>
      </c>
      <c r="I68" t="s">
        <v>94</v>
      </c>
      <c r="J68" t="s">
        <v>95</v>
      </c>
      <c r="K68" t="s">
        <v>96</v>
      </c>
      <c r="L68" t="s">
        <v>97</v>
      </c>
      <c r="M68" t="s">
        <v>98</v>
      </c>
      <c r="N68" t="s">
        <v>99</v>
      </c>
      <c r="P68" s="3" t="s">
        <v>101</v>
      </c>
      <c r="Q68" s="3" t="s">
        <v>1192</v>
      </c>
      <c r="R68">
        <v>7</v>
      </c>
      <c r="S68">
        <f t="shared" ca="1" si="12"/>
        <v>4</v>
      </c>
      <c r="T68" s="4">
        <f t="shared" ca="1" si="13"/>
        <v>45309</v>
      </c>
      <c r="U68">
        <f t="shared" si="14"/>
        <v>75</v>
      </c>
      <c r="V68">
        <f t="shared" si="15"/>
        <v>50</v>
      </c>
      <c r="W68">
        <f t="shared" ca="1" si="16"/>
        <v>100</v>
      </c>
      <c r="X68">
        <f t="shared" si="17"/>
        <v>100</v>
      </c>
      <c r="Y68">
        <f t="shared" si="18"/>
        <v>75</v>
      </c>
      <c r="Z68">
        <f t="shared" si="19"/>
        <v>50</v>
      </c>
      <c r="AA68">
        <f t="shared" ca="1" si="20"/>
        <v>100</v>
      </c>
      <c r="AB68">
        <f t="shared" si="21"/>
        <v>100</v>
      </c>
      <c r="AC68">
        <f t="shared" ca="1" si="22"/>
        <v>80</v>
      </c>
      <c r="AD68" t="str">
        <f t="shared" si="23"/>
        <v>Request Revision</v>
      </c>
    </row>
    <row r="69" spans="1:30">
      <c r="A69" t="s">
        <v>778</v>
      </c>
      <c r="B69" t="s">
        <v>779</v>
      </c>
      <c r="C69" t="s">
        <v>627</v>
      </c>
      <c r="D69" t="s">
        <v>62</v>
      </c>
      <c r="E69" t="s">
        <v>44</v>
      </c>
      <c r="F69" s="1">
        <v>0.5</v>
      </c>
      <c r="G69">
        <v>4.2</v>
      </c>
      <c r="H69" s="2">
        <v>22860</v>
      </c>
      <c r="J69" t="s">
        <v>780</v>
      </c>
      <c r="K69" t="s">
        <v>781</v>
      </c>
      <c r="L69" t="s">
        <v>782</v>
      </c>
      <c r="M69" t="s">
        <v>783</v>
      </c>
      <c r="N69" t="s">
        <v>784</v>
      </c>
      <c r="P69" s="3" t="s">
        <v>785</v>
      </c>
      <c r="Q69" s="3" t="s">
        <v>1193</v>
      </c>
      <c r="R69">
        <v>7</v>
      </c>
      <c r="S69">
        <f t="shared" ca="1" si="12"/>
        <v>2</v>
      </c>
      <c r="T69" s="4">
        <f t="shared" ca="1" si="13"/>
        <v>45299</v>
      </c>
      <c r="U69">
        <f t="shared" si="14"/>
        <v>50</v>
      </c>
      <c r="V69">
        <f t="shared" si="15"/>
        <v>0</v>
      </c>
      <c r="W69">
        <f t="shared" ca="1" si="16"/>
        <v>100</v>
      </c>
      <c r="X69">
        <f t="shared" si="17"/>
        <v>100</v>
      </c>
      <c r="Y69">
        <f t="shared" si="18"/>
        <v>50</v>
      </c>
      <c r="Z69">
        <f t="shared" si="19"/>
        <v>0</v>
      </c>
      <c r="AA69">
        <f t="shared" ca="1" si="20"/>
        <v>100</v>
      </c>
      <c r="AB69">
        <f t="shared" si="21"/>
        <v>100</v>
      </c>
      <c r="AC69">
        <f t="shared" ca="1" si="22"/>
        <v>60</v>
      </c>
      <c r="AD69" t="str">
        <f t="shared" si="23"/>
        <v>Escalate to Sr. Analyst</v>
      </c>
    </row>
    <row r="70" spans="1:30">
      <c r="A70" t="s">
        <v>32</v>
      </c>
      <c r="B70" t="s">
        <v>33</v>
      </c>
      <c r="C70" t="s">
        <v>16</v>
      </c>
      <c r="D70" t="s">
        <v>34</v>
      </c>
      <c r="E70" t="s">
        <v>17</v>
      </c>
      <c r="F70" s="1">
        <v>0.61</v>
      </c>
      <c r="G70">
        <v>4.2</v>
      </c>
      <c r="H70" s="2">
        <v>16905</v>
      </c>
      <c r="J70" t="s">
        <v>35</v>
      </c>
      <c r="K70" t="s">
        <v>36</v>
      </c>
      <c r="L70" t="s">
        <v>37</v>
      </c>
      <c r="M70" t="s">
        <v>38</v>
      </c>
      <c r="N70" t="s">
        <v>39</v>
      </c>
      <c r="O70" t="s">
        <v>348</v>
      </c>
      <c r="P70" s="3" t="s">
        <v>349</v>
      </c>
      <c r="Q70" s="3" t="s">
        <v>1194</v>
      </c>
      <c r="R70">
        <v>7</v>
      </c>
      <c r="S70">
        <f t="shared" ca="1" si="12"/>
        <v>4</v>
      </c>
      <c r="T70" s="4">
        <f t="shared" ca="1" si="13"/>
        <v>45302</v>
      </c>
      <c r="U70">
        <f t="shared" si="14"/>
        <v>75</v>
      </c>
      <c r="V70">
        <f t="shared" si="15"/>
        <v>50</v>
      </c>
      <c r="W70">
        <f t="shared" ca="1" si="16"/>
        <v>100</v>
      </c>
      <c r="X70">
        <f t="shared" si="17"/>
        <v>100</v>
      </c>
      <c r="Y70">
        <f t="shared" si="18"/>
        <v>75</v>
      </c>
      <c r="Z70">
        <f t="shared" si="19"/>
        <v>50</v>
      </c>
      <c r="AA70">
        <f t="shared" ca="1" si="20"/>
        <v>100</v>
      </c>
      <c r="AB70">
        <f t="shared" si="21"/>
        <v>100</v>
      </c>
      <c r="AC70">
        <f t="shared" ca="1" si="22"/>
        <v>80</v>
      </c>
      <c r="AD70" t="str">
        <f t="shared" si="23"/>
        <v>Request Revision</v>
      </c>
    </row>
    <row r="71" spans="1:30">
      <c r="A71" t="s">
        <v>154</v>
      </c>
      <c r="B71" t="s">
        <v>155</v>
      </c>
      <c r="C71" t="s">
        <v>16</v>
      </c>
      <c r="D71" t="s">
        <v>55</v>
      </c>
      <c r="E71" t="s">
        <v>56</v>
      </c>
      <c r="F71" s="1">
        <v>0.69</v>
      </c>
      <c r="G71">
        <v>4.3</v>
      </c>
      <c r="H71" s="2">
        <v>20053</v>
      </c>
      <c r="I71" t="s">
        <v>156</v>
      </c>
      <c r="J71" t="s">
        <v>157</v>
      </c>
      <c r="K71" t="s">
        <v>158</v>
      </c>
      <c r="L71" t="s">
        <v>159</v>
      </c>
      <c r="M71" t="s">
        <v>160</v>
      </c>
      <c r="N71" t="s">
        <v>161</v>
      </c>
      <c r="O71" t="s">
        <v>162</v>
      </c>
      <c r="P71" s="3" t="s">
        <v>163</v>
      </c>
      <c r="Q71" s="3" t="s">
        <v>1195</v>
      </c>
      <c r="R71">
        <v>7</v>
      </c>
      <c r="S71">
        <f t="shared" ca="1" si="12"/>
        <v>8</v>
      </c>
      <c r="T71" s="4">
        <f t="shared" ca="1" si="13"/>
        <v>45302</v>
      </c>
      <c r="U71">
        <f t="shared" si="14"/>
        <v>100</v>
      </c>
      <c r="V71">
        <f t="shared" si="15"/>
        <v>100</v>
      </c>
      <c r="W71">
        <f t="shared" ca="1" si="16"/>
        <v>90</v>
      </c>
      <c r="X71">
        <f t="shared" si="17"/>
        <v>100</v>
      </c>
      <c r="Y71">
        <f t="shared" si="18"/>
        <v>100</v>
      </c>
      <c r="Z71">
        <f t="shared" si="19"/>
        <v>100</v>
      </c>
      <c r="AA71">
        <f t="shared" ca="1" si="20"/>
        <v>90</v>
      </c>
      <c r="AB71">
        <f t="shared" si="21"/>
        <v>100</v>
      </c>
      <c r="AC71">
        <f t="shared" ca="1" si="22"/>
        <v>97.5</v>
      </c>
      <c r="AD71" t="str">
        <f t="shared" si="23"/>
        <v>Approve</v>
      </c>
    </row>
    <row r="72" spans="1:30">
      <c r="A72" t="s">
        <v>605</v>
      </c>
      <c r="B72" t="s">
        <v>606</v>
      </c>
      <c r="C72" t="s">
        <v>584</v>
      </c>
      <c r="D72" t="s">
        <v>40</v>
      </c>
      <c r="E72" t="s">
        <v>17</v>
      </c>
      <c r="F72" s="1">
        <v>0.63</v>
      </c>
      <c r="G72">
        <v>4</v>
      </c>
      <c r="H72" s="2">
        <v>1540</v>
      </c>
      <c r="I72" t="s">
        <v>607</v>
      </c>
      <c r="J72" t="s">
        <v>608</v>
      </c>
      <c r="K72" t="s">
        <v>609</v>
      </c>
      <c r="L72" t="s">
        <v>610</v>
      </c>
      <c r="M72" t="s">
        <v>611</v>
      </c>
      <c r="N72" t="s">
        <v>612</v>
      </c>
      <c r="O72" t="s">
        <v>613</v>
      </c>
      <c r="P72" s="3" t="s">
        <v>614</v>
      </c>
      <c r="Q72" s="3" t="s">
        <v>1196</v>
      </c>
      <c r="R72">
        <v>7</v>
      </c>
      <c r="S72">
        <f t="shared" ca="1" si="12"/>
        <v>20</v>
      </c>
      <c r="T72" s="4">
        <f t="shared" ca="1" si="13"/>
        <v>45299</v>
      </c>
      <c r="U72">
        <f t="shared" si="14"/>
        <v>100</v>
      </c>
      <c r="V72">
        <f t="shared" si="15"/>
        <v>100</v>
      </c>
      <c r="W72">
        <f t="shared" ca="1" si="16"/>
        <v>0</v>
      </c>
      <c r="X72">
        <f t="shared" si="17"/>
        <v>100</v>
      </c>
      <c r="Y72">
        <f t="shared" si="18"/>
        <v>100</v>
      </c>
      <c r="Z72">
        <f t="shared" si="19"/>
        <v>100</v>
      </c>
      <c r="AA72">
        <f t="shared" ca="1" si="20"/>
        <v>0</v>
      </c>
      <c r="AB72">
        <f t="shared" si="21"/>
        <v>100</v>
      </c>
      <c r="AC72">
        <f t="shared" ca="1" si="22"/>
        <v>75</v>
      </c>
      <c r="AD72" t="str">
        <f t="shared" si="23"/>
        <v>Approve</v>
      </c>
    </row>
    <row r="73" spans="1:30">
      <c r="A73" t="s">
        <v>895</v>
      </c>
      <c r="B73" t="s">
        <v>896</v>
      </c>
      <c r="C73" t="s">
        <v>897</v>
      </c>
      <c r="D73" t="s">
        <v>898</v>
      </c>
      <c r="E73" t="s">
        <v>898</v>
      </c>
      <c r="F73" s="1">
        <v>0</v>
      </c>
      <c r="G73">
        <v>4.2</v>
      </c>
      <c r="H73" s="2">
        <v>13250</v>
      </c>
      <c r="I73" t="s">
        <v>899</v>
      </c>
      <c r="J73" t="s">
        <v>900</v>
      </c>
      <c r="K73" t="s">
        <v>901</v>
      </c>
      <c r="L73" t="s">
        <v>902</v>
      </c>
      <c r="M73" t="s">
        <v>903</v>
      </c>
      <c r="N73" t="s">
        <v>904</v>
      </c>
      <c r="P73" s="3" t="s">
        <v>905</v>
      </c>
      <c r="Q73" s="3" t="s">
        <v>1197</v>
      </c>
      <c r="R73">
        <v>7</v>
      </c>
      <c r="S73">
        <f t="shared" ca="1" si="12"/>
        <v>20</v>
      </c>
      <c r="T73" s="4">
        <f t="shared" ca="1" si="13"/>
        <v>45307</v>
      </c>
      <c r="U73">
        <f t="shared" si="14"/>
        <v>75</v>
      </c>
      <c r="V73">
        <f t="shared" si="15"/>
        <v>50</v>
      </c>
      <c r="W73">
        <f t="shared" ca="1" si="16"/>
        <v>0</v>
      </c>
      <c r="X73">
        <f t="shared" si="17"/>
        <v>100</v>
      </c>
      <c r="Y73">
        <f t="shared" si="18"/>
        <v>75</v>
      </c>
      <c r="Z73">
        <f t="shared" si="19"/>
        <v>50</v>
      </c>
      <c r="AA73">
        <f t="shared" ca="1" si="20"/>
        <v>0</v>
      </c>
      <c r="AB73">
        <f t="shared" si="21"/>
        <v>100</v>
      </c>
      <c r="AC73">
        <f t="shared" ca="1" si="22"/>
        <v>55</v>
      </c>
      <c r="AD73" t="str">
        <f t="shared" si="23"/>
        <v>Request Revision</v>
      </c>
    </row>
    <row r="74" spans="1:30">
      <c r="A74" t="s">
        <v>711</v>
      </c>
      <c r="B74" t="s">
        <v>712</v>
      </c>
      <c r="C74" t="s">
        <v>598</v>
      </c>
      <c r="D74" t="s">
        <v>410</v>
      </c>
      <c r="E74" t="s">
        <v>337</v>
      </c>
      <c r="F74" s="1">
        <v>0.25</v>
      </c>
      <c r="G74">
        <v>4.3</v>
      </c>
      <c r="H74" s="2">
        <v>44696</v>
      </c>
      <c r="I74" t="s">
        <v>713</v>
      </c>
      <c r="J74" t="s">
        <v>714</v>
      </c>
      <c r="K74" t="s">
        <v>715</v>
      </c>
      <c r="L74" t="s">
        <v>716</v>
      </c>
      <c r="M74" t="s">
        <v>717</v>
      </c>
      <c r="N74" t="s">
        <v>718</v>
      </c>
      <c r="O74" t="s">
        <v>719</v>
      </c>
      <c r="P74" s="3" t="s">
        <v>720</v>
      </c>
      <c r="Q74" s="3" t="s">
        <v>1198</v>
      </c>
      <c r="R74">
        <v>7</v>
      </c>
      <c r="S74">
        <f t="shared" ca="1" si="12"/>
        <v>19</v>
      </c>
      <c r="T74" s="4">
        <f t="shared" ca="1" si="13"/>
        <v>45294</v>
      </c>
      <c r="U74">
        <f t="shared" si="14"/>
        <v>100</v>
      </c>
      <c r="V74">
        <f t="shared" si="15"/>
        <v>100</v>
      </c>
      <c r="W74">
        <f t="shared" ca="1" si="16"/>
        <v>0</v>
      </c>
      <c r="X74">
        <f t="shared" si="17"/>
        <v>100</v>
      </c>
      <c r="Y74">
        <f t="shared" si="18"/>
        <v>100</v>
      </c>
      <c r="Z74">
        <f t="shared" si="19"/>
        <v>100</v>
      </c>
      <c r="AA74">
        <f t="shared" ca="1" si="20"/>
        <v>0</v>
      </c>
      <c r="AB74">
        <f t="shared" si="21"/>
        <v>100</v>
      </c>
      <c r="AC74">
        <f t="shared" ca="1" si="22"/>
        <v>75</v>
      </c>
      <c r="AD74" t="str">
        <f t="shared" si="23"/>
        <v>Approve</v>
      </c>
    </row>
    <row r="75" spans="1:30">
      <c r="A75" t="s">
        <v>446</v>
      </c>
      <c r="B75" t="s">
        <v>447</v>
      </c>
      <c r="C75" t="s">
        <v>448</v>
      </c>
      <c r="D75" t="s">
        <v>449</v>
      </c>
      <c r="E75" t="s">
        <v>52</v>
      </c>
      <c r="F75" s="1">
        <v>0.88</v>
      </c>
      <c r="G75">
        <v>3.9</v>
      </c>
      <c r="H75" s="2">
        <v>6491</v>
      </c>
      <c r="I75" t="s">
        <v>450</v>
      </c>
      <c r="J75" t="s">
        <v>451</v>
      </c>
      <c r="K75" t="s">
        <v>452</v>
      </c>
      <c r="L75" t="s">
        <v>453</v>
      </c>
      <c r="M75" t="s">
        <v>454</v>
      </c>
      <c r="N75" t="s">
        <v>455</v>
      </c>
      <c r="P75" s="3" t="s">
        <v>456</v>
      </c>
      <c r="Q75" s="3" t="s">
        <v>1199</v>
      </c>
      <c r="R75">
        <v>7</v>
      </c>
      <c r="S75">
        <f t="shared" ca="1" si="12"/>
        <v>11</v>
      </c>
      <c r="T75" s="4">
        <f t="shared" ca="1" si="13"/>
        <v>45314</v>
      </c>
      <c r="U75">
        <f t="shared" si="14"/>
        <v>75</v>
      </c>
      <c r="V75">
        <f t="shared" si="15"/>
        <v>50</v>
      </c>
      <c r="W75">
        <f t="shared" ca="1" si="16"/>
        <v>60</v>
      </c>
      <c r="X75">
        <f t="shared" si="17"/>
        <v>100</v>
      </c>
      <c r="Y75">
        <f t="shared" si="18"/>
        <v>75</v>
      </c>
      <c r="Z75">
        <f t="shared" si="19"/>
        <v>50</v>
      </c>
      <c r="AA75">
        <f t="shared" ca="1" si="20"/>
        <v>60</v>
      </c>
      <c r="AB75">
        <f t="shared" si="21"/>
        <v>100</v>
      </c>
      <c r="AC75">
        <f t="shared" ca="1" si="22"/>
        <v>70</v>
      </c>
      <c r="AD75" t="str">
        <f t="shared" si="23"/>
        <v>Request Revision</v>
      </c>
    </row>
    <row r="76" spans="1:30">
      <c r="A76" t="s">
        <v>871</v>
      </c>
      <c r="B76" t="s">
        <v>872</v>
      </c>
      <c r="C76" t="s">
        <v>815</v>
      </c>
      <c r="D76" t="s">
        <v>873</v>
      </c>
      <c r="E76" t="s">
        <v>874</v>
      </c>
      <c r="F76" s="1">
        <v>0.14000000000000001</v>
      </c>
      <c r="G76">
        <v>4.0999999999999996</v>
      </c>
      <c r="H76" s="2">
        <v>26543</v>
      </c>
      <c r="I76" t="s">
        <v>875</v>
      </c>
      <c r="J76" t="s">
        <v>876</v>
      </c>
      <c r="K76" t="s">
        <v>877</v>
      </c>
      <c r="L76" t="s">
        <v>878</v>
      </c>
      <c r="M76" t="s">
        <v>879</v>
      </c>
      <c r="N76" t="s">
        <v>880</v>
      </c>
      <c r="O76" t="s">
        <v>881</v>
      </c>
      <c r="P76" s="3" t="s">
        <v>882</v>
      </c>
      <c r="Q76" s="3" t="s">
        <v>1200</v>
      </c>
      <c r="R76">
        <v>7</v>
      </c>
      <c r="S76">
        <f t="shared" ca="1" si="12"/>
        <v>13</v>
      </c>
      <c r="T76" s="4">
        <f t="shared" ca="1" si="13"/>
        <v>45315</v>
      </c>
      <c r="U76">
        <f t="shared" si="14"/>
        <v>100</v>
      </c>
      <c r="V76">
        <f t="shared" si="15"/>
        <v>100</v>
      </c>
      <c r="W76">
        <f t="shared" ca="1" si="16"/>
        <v>40</v>
      </c>
      <c r="X76">
        <f t="shared" si="17"/>
        <v>100</v>
      </c>
      <c r="Y76">
        <f t="shared" si="18"/>
        <v>100</v>
      </c>
      <c r="Z76">
        <f t="shared" si="19"/>
        <v>100</v>
      </c>
      <c r="AA76">
        <f t="shared" ca="1" si="20"/>
        <v>40</v>
      </c>
      <c r="AB76">
        <f t="shared" si="21"/>
        <v>100</v>
      </c>
      <c r="AC76">
        <f t="shared" ca="1" si="22"/>
        <v>85</v>
      </c>
      <c r="AD76" t="str">
        <f t="shared" si="23"/>
        <v>Approve</v>
      </c>
    </row>
    <row r="77" spans="1:30">
      <c r="A77" t="s">
        <v>649</v>
      </c>
      <c r="B77" t="s">
        <v>650</v>
      </c>
      <c r="C77" t="s">
        <v>467</v>
      </c>
      <c r="D77" t="s">
        <v>254</v>
      </c>
      <c r="E77" t="s">
        <v>120</v>
      </c>
      <c r="F77" s="1">
        <v>0.85</v>
      </c>
      <c r="G77">
        <v>3.8</v>
      </c>
      <c r="H77" s="2">
        <v>1173</v>
      </c>
      <c r="I77" t="s">
        <v>651</v>
      </c>
      <c r="J77" t="s">
        <v>652</v>
      </c>
      <c r="K77" t="s">
        <v>653</v>
      </c>
      <c r="L77" t="s">
        <v>654</v>
      </c>
      <c r="M77" t="s">
        <v>655</v>
      </c>
      <c r="N77" t="s">
        <v>656</v>
      </c>
      <c r="P77" s="3" t="s">
        <v>657</v>
      </c>
      <c r="Q77" s="3" t="s">
        <v>1201</v>
      </c>
      <c r="R77">
        <v>7</v>
      </c>
      <c r="S77">
        <f t="shared" ca="1" si="12"/>
        <v>11</v>
      </c>
      <c r="T77" s="4">
        <f t="shared" ca="1" si="13"/>
        <v>45318</v>
      </c>
      <c r="U77">
        <f t="shared" si="14"/>
        <v>75</v>
      </c>
      <c r="V77">
        <f t="shared" si="15"/>
        <v>50</v>
      </c>
      <c r="W77">
        <f t="shared" ca="1" si="16"/>
        <v>60</v>
      </c>
      <c r="X77">
        <f t="shared" si="17"/>
        <v>100</v>
      </c>
      <c r="Y77">
        <f t="shared" si="18"/>
        <v>75</v>
      </c>
      <c r="Z77">
        <f t="shared" si="19"/>
        <v>50</v>
      </c>
      <c r="AA77">
        <f t="shared" ca="1" si="20"/>
        <v>60</v>
      </c>
      <c r="AB77">
        <f t="shared" si="21"/>
        <v>100</v>
      </c>
      <c r="AC77">
        <f t="shared" ca="1" si="22"/>
        <v>70</v>
      </c>
      <c r="AD77" t="str">
        <f t="shared" si="23"/>
        <v>Request Revision</v>
      </c>
    </row>
    <row r="78" spans="1:30">
      <c r="A78" t="s">
        <v>721</v>
      </c>
      <c r="B78" t="s">
        <v>722</v>
      </c>
      <c r="C78" t="s">
        <v>723</v>
      </c>
      <c r="D78" t="s">
        <v>457</v>
      </c>
      <c r="E78" t="s">
        <v>457</v>
      </c>
      <c r="F78" s="1">
        <v>0</v>
      </c>
      <c r="G78">
        <v>4.3</v>
      </c>
      <c r="H78" s="2">
        <v>15867</v>
      </c>
      <c r="I78" t="s">
        <v>724</v>
      </c>
      <c r="J78" t="s">
        <v>725</v>
      </c>
      <c r="K78" t="s">
        <v>726</v>
      </c>
      <c r="L78" t="s">
        <v>727</v>
      </c>
      <c r="M78" t="s">
        <v>728</v>
      </c>
      <c r="N78" t="s">
        <v>729</v>
      </c>
      <c r="O78" t="s">
        <v>730</v>
      </c>
      <c r="P78" s="3" t="s">
        <v>731</v>
      </c>
      <c r="Q78" s="3" t="s">
        <v>1202</v>
      </c>
      <c r="R78">
        <v>7</v>
      </c>
      <c r="S78">
        <f t="shared" ca="1" si="12"/>
        <v>17</v>
      </c>
      <c r="T78" s="4">
        <f t="shared" ca="1" si="13"/>
        <v>45302</v>
      </c>
      <c r="U78">
        <f t="shared" si="14"/>
        <v>100</v>
      </c>
      <c r="V78">
        <f t="shared" si="15"/>
        <v>100</v>
      </c>
      <c r="W78">
        <f t="shared" ca="1" si="16"/>
        <v>0</v>
      </c>
      <c r="X78">
        <f t="shared" si="17"/>
        <v>100</v>
      </c>
      <c r="Y78">
        <f t="shared" si="18"/>
        <v>100</v>
      </c>
      <c r="Z78">
        <f t="shared" si="19"/>
        <v>100</v>
      </c>
      <c r="AA78">
        <f t="shared" ca="1" si="20"/>
        <v>0</v>
      </c>
      <c r="AB78">
        <f t="shared" si="21"/>
        <v>100</v>
      </c>
      <c r="AC78">
        <f t="shared" ca="1" si="22"/>
        <v>75</v>
      </c>
      <c r="AD78" t="str">
        <f t="shared" si="23"/>
        <v>Approve</v>
      </c>
    </row>
    <row r="79" spans="1:30">
      <c r="A79" t="s">
        <v>574</v>
      </c>
      <c r="B79" t="s">
        <v>575</v>
      </c>
      <c r="C79" t="s">
        <v>576</v>
      </c>
      <c r="D79" t="s">
        <v>577</v>
      </c>
      <c r="E79" t="s">
        <v>91</v>
      </c>
      <c r="F79" s="1">
        <v>0.2</v>
      </c>
      <c r="G79">
        <v>4.3</v>
      </c>
      <c r="H79" s="2">
        <v>11687</v>
      </c>
      <c r="J79" t="s">
        <v>578</v>
      </c>
      <c r="K79" t="s">
        <v>579</v>
      </c>
      <c r="L79" t="s">
        <v>580</v>
      </c>
      <c r="M79" t="s">
        <v>581</v>
      </c>
      <c r="N79" t="s">
        <v>582</v>
      </c>
      <c r="P79" s="3" t="s">
        <v>583</v>
      </c>
      <c r="Q79" s="3" t="s">
        <v>1203</v>
      </c>
      <c r="R79">
        <v>7</v>
      </c>
      <c r="S79">
        <f t="shared" ca="1" si="12"/>
        <v>3</v>
      </c>
      <c r="T79" s="4">
        <f t="shared" ca="1" si="13"/>
        <v>45301</v>
      </c>
      <c r="U79">
        <f t="shared" si="14"/>
        <v>50</v>
      </c>
      <c r="V79">
        <f t="shared" si="15"/>
        <v>0</v>
      </c>
      <c r="W79">
        <f t="shared" ca="1" si="16"/>
        <v>100</v>
      </c>
      <c r="X79">
        <f t="shared" si="17"/>
        <v>100</v>
      </c>
      <c r="Y79">
        <f t="shared" si="18"/>
        <v>50</v>
      </c>
      <c r="Z79">
        <f t="shared" si="19"/>
        <v>0</v>
      </c>
      <c r="AA79">
        <f t="shared" ca="1" si="20"/>
        <v>100</v>
      </c>
      <c r="AB79">
        <f t="shared" si="21"/>
        <v>100</v>
      </c>
      <c r="AC79">
        <f t="shared" ca="1" si="22"/>
        <v>60</v>
      </c>
      <c r="AD79" t="str">
        <f t="shared" si="23"/>
        <v>Escalate to Sr. Analyst</v>
      </c>
    </row>
    <row r="80" spans="1:30">
      <c r="A80" t="s">
        <v>1038</v>
      </c>
      <c r="B80" t="s">
        <v>1241</v>
      </c>
      <c r="C80" t="s">
        <v>792</v>
      </c>
      <c r="D80" t="s">
        <v>1039</v>
      </c>
      <c r="E80" t="s">
        <v>91</v>
      </c>
      <c r="F80" s="1">
        <v>0.51</v>
      </c>
      <c r="G80">
        <v>4</v>
      </c>
      <c r="H80" s="2">
        <v>1644</v>
      </c>
      <c r="I80" t="s">
        <v>1040</v>
      </c>
      <c r="J80" t="s">
        <v>1041</v>
      </c>
      <c r="K80" t="s">
        <v>1042</v>
      </c>
      <c r="L80" t="s">
        <v>1043</v>
      </c>
      <c r="M80" t="s">
        <v>1044</v>
      </c>
      <c r="N80" t="s">
        <v>1045</v>
      </c>
      <c r="O80" t="s">
        <v>1046</v>
      </c>
      <c r="P80" s="3" t="s">
        <v>1047</v>
      </c>
      <c r="Q80" s="3" t="s">
        <v>1204</v>
      </c>
      <c r="R80">
        <v>7</v>
      </c>
      <c r="S80">
        <f t="shared" ca="1" si="12"/>
        <v>17</v>
      </c>
      <c r="T80" s="4">
        <f t="shared" ca="1" si="13"/>
        <v>45296</v>
      </c>
      <c r="U80">
        <f t="shared" si="14"/>
        <v>100</v>
      </c>
      <c r="V80">
        <f t="shared" si="15"/>
        <v>100</v>
      </c>
      <c r="W80">
        <f t="shared" ca="1" si="16"/>
        <v>0</v>
      </c>
      <c r="X80">
        <f t="shared" si="17"/>
        <v>100</v>
      </c>
      <c r="Y80">
        <f t="shared" si="18"/>
        <v>100</v>
      </c>
      <c r="Z80">
        <f t="shared" si="19"/>
        <v>100</v>
      </c>
      <c r="AA80">
        <f t="shared" ca="1" si="20"/>
        <v>0</v>
      </c>
      <c r="AB80">
        <f t="shared" si="21"/>
        <v>100</v>
      </c>
      <c r="AC80">
        <f t="shared" ca="1" si="22"/>
        <v>75</v>
      </c>
      <c r="AD80" t="str">
        <f t="shared" si="23"/>
        <v>Approve</v>
      </c>
    </row>
    <row r="81" spans="1:30">
      <c r="A81" t="s">
        <v>1113</v>
      </c>
      <c r="B81" t="s">
        <v>1114</v>
      </c>
      <c r="C81" t="s">
        <v>1115</v>
      </c>
      <c r="D81" t="s">
        <v>1116</v>
      </c>
      <c r="E81" t="s">
        <v>133</v>
      </c>
      <c r="F81" s="1">
        <v>0.49</v>
      </c>
      <c r="G81">
        <v>4.3</v>
      </c>
      <c r="H81" s="2">
        <v>2664</v>
      </c>
      <c r="I81" t="s">
        <v>1117</v>
      </c>
      <c r="J81" t="s">
        <v>1118</v>
      </c>
      <c r="K81" t="s">
        <v>1119</v>
      </c>
      <c r="L81" t="s">
        <v>1120</v>
      </c>
      <c r="M81" t="s">
        <v>1121</v>
      </c>
      <c r="N81" t="s">
        <v>1122</v>
      </c>
      <c r="O81" t="s">
        <v>1123</v>
      </c>
      <c r="P81" s="3" t="s">
        <v>1124</v>
      </c>
      <c r="Q81" s="3" t="s">
        <v>1205</v>
      </c>
      <c r="R81">
        <v>7</v>
      </c>
      <c r="S81">
        <f t="shared" ca="1" si="12"/>
        <v>17</v>
      </c>
      <c r="T81" s="4">
        <f t="shared" ca="1" si="13"/>
        <v>45293</v>
      </c>
      <c r="U81">
        <f t="shared" si="14"/>
        <v>100</v>
      </c>
      <c r="V81">
        <f t="shared" si="15"/>
        <v>100</v>
      </c>
      <c r="W81">
        <f t="shared" ca="1" si="16"/>
        <v>0</v>
      </c>
      <c r="X81">
        <f t="shared" si="17"/>
        <v>100</v>
      </c>
      <c r="Y81">
        <f t="shared" si="18"/>
        <v>100</v>
      </c>
      <c r="Z81">
        <f t="shared" si="19"/>
        <v>100</v>
      </c>
      <c r="AA81">
        <f t="shared" ca="1" si="20"/>
        <v>0</v>
      </c>
      <c r="AB81">
        <f t="shared" si="21"/>
        <v>100</v>
      </c>
      <c r="AC81">
        <f t="shared" ca="1" si="22"/>
        <v>75</v>
      </c>
      <c r="AD81" t="str">
        <f t="shared" si="23"/>
        <v>Approve</v>
      </c>
    </row>
    <row r="82" spans="1:30">
      <c r="A82" t="s">
        <v>907</v>
      </c>
      <c r="B82" t="s">
        <v>908</v>
      </c>
      <c r="C82" t="s">
        <v>835</v>
      </c>
      <c r="D82" t="s">
        <v>18</v>
      </c>
      <c r="E82" t="s">
        <v>30</v>
      </c>
      <c r="F82" s="1">
        <v>0.42</v>
      </c>
      <c r="G82">
        <v>4.3</v>
      </c>
      <c r="H82" s="2">
        <v>1811</v>
      </c>
      <c r="I82" t="s">
        <v>909</v>
      </c>
      <c r="J82" t="s">
        <v>910</v>
      </c>
      <c r="K82" t="s">
        <v>911</v>
      </c>
      <c r="L82" t="s">
        <v>912</v>
      </c>
      <c r="M82" t="s">
        <v>913</v>
      </c>
      <c r="N82" t="s">
        <v>914</v>
      </c>
      <c r="O82" s="5"/>
      <c r="P82" s="3" t="s">
        <v>915</v>
      </c>
      <c r="Q82" s="3" t="s">
        <v>1206</v>
      </c>
      <c r="R82">
        <v>7</v>
      </c>
      <c r="S82">
        <f t="shared" ca="1" si="12"/>
        <v>1</v>
      </c>
      <c r="T82" s="4">
        <f t="shared" ca="1" si="13"/>
        <v>45297</v>
      </c>
      <c r="U82">
        <f t="shared" si="14"/>
        <v>75</v>
      </c>
      <c r="V82">
        <f t="shared" si="15"/>
        <v>50</v>
      </c>
      <c r="W82">
        <f t="shared" ca="1" si="16"/>
        <v>100</v>
      </c>
      <c r="X82">
        <f t="shared" si="17"/>
        <v>100</v>
      </c>
      <c r="Y82">
        <f t="shared" si="18"/>
        <v>75</v>
      </c>
      <c r="Z82">
        <f t="shared" si="19"/>
        <v>50</v>
      </c>
      <c r="AA82">
        <f t="shared" ca="1" si="20"/>
        <v>100</v>
      </c>
      <c r="AB82">
        <f t="shared" si="21"/>
        <v>100</v>
      </c>
      <c r="AC82">
        <f t="shared" ca="1" si="22"/>
        <v>80</v>
      </c>
      <c r="AD82" t="str">
        <f t="shared" si="23"/>
        <v>Request Revision</v>
      </c>
    </row>
    <row r="83" spans="1:30">
      <c r="A83" t="s">
        <v>325</v>
      </c>
      <c r="B83" t="s">
        <v>326</v>
      </c>
      <c r="C83" t="s">
        <v>302</v>
      </c>
      <c r="D83" t="s">
        <v>186</v>
      </c>
      <c r="E83" t="s">
        <v>327</v>
      </c>
      <c r="F83" s="1">
        <v>0.23</v>
      </c>
      <c r="G83">
        <v>4.0999999999999996</v>
      </c>
      <c r="H83" t="s">
        <v>328</v>
      </c>
      <c r="I83" t="s">
        <v>329</v>
      </c>
      <c r="J83" t="s">
        <v>330</v>
      </c>
      <c r="K83" t="s">
        <v>331</v>
      </c>
      <c r="L83" t="s">
        <v>332</v>
      </c>
      <c r="M83" t="s">
        <v>333</v>
      </c>
      <c r="N83" t="s">
        <v>334</v>
      </c>
      <c r="O83" t="s">
        <v>335</v>
      </c>
      <c r="P83" s="3" t="s">
        <v>336</v>
      </c>
      <c r="Q83" s="3" t="s">
        <v>1207</v>
      </c>
      <c r="R83">
        <v>7</v>
      </c>
      <c r="S83">
        <f t="shared" ca="1" si="12"/>
        <v>14</v>
      </c>
      <c r="T83" s="4">
        <f t="shared" ca="1" si="13"/>
        <v>45312</v>
      </c>
      <c r="U83">
        <f t="shared" si="14"/>
        <v>100</v>
      </c>
      <c r="V83">
        <f t="shared" si="15"/>
        <v>100</v>
      </c>
      <c r="W83">
        <f t="shared" ca="1" si="16"/>
        <v>30</v>
      </c>
      <c r="X83">
        <f t="shared" si="17"/>
        <v>100</v>
      </c>
      <c r="Y83">
        <f t="shared" si="18"/>
        <v>100</v>
      </c>
      <c r="Z83">
        <f t="shared" si="19"/>
        <v>100</v>
      </c>
      <c r="AA83">
        <f t="shared" ca="1" si="20"/>
        <v>30</v>
      </c>
      <c r="AB83">
        <f t="shared" si="21"/>
        <v>100</v>
      </c>
      <c r="AC83">
        <f t="shared" ca="1" si="22"/>
        <v>82.5</v>
      </c>
      <c r="AD83" t="str">
        <f t="shared" si="23"/>
        <v>Approve</v>
      </c>
    </row>
    <row r="84" spans="1:30">
      <c r="A84" t="s">
        <v>82</v>
      </c>
      <c r="B84" t="s">
        <v>83</v>
      </c>
      <c r="C84" t="s">
        <v>16</v>
      </c>
      <c r="D84" t="s">
        <v>66</v>
      </c>
      <c r="E84" t="s">
        <v>84</v>
      </c>
      <c r="F84" s="1">
        <v>0.51</v>
      </c>
      <c r="G84">
        <v>4.4000000000000004</v>
      </c>
      <c r="H84">
        <v>184</v>
      </c>
      <c r="I84" t="s">
        <v>85</v>
      </c>
      <c r="J84" t="s">
        <v>86</v>
      </c>
      <c r="K84" t="s">
        <v>87</v>
      </c>
      <c r="L84" t="s">
        <v>88</v>
      </c>
      <c r="M84" t="s">
        <v>89</v>
      </c>
      <c r="N84" t="s">
        <v>90</v>
      </c>
      <c r="O84" t="s">
        <v>420</v>
      </c>
      <c r="P84" s="3" t="s">
        <v>421</v>
      </c>
      <c r="Q84" s="3" t="s">
        <v>1208</v>
      </c>
      <c r="R84">
        <v>7</v>
      </c>
      <c r="S84">
        <f t="shared" ca="1" si="12"/>
        <v>13</v>
      </c>
      <c r="T84" s="4">
        <f t="shared" ca="1" si="13"/>
        <v>45296</v>
      </c>
      <c r="U84">
        <f t="shared" si="14"/>
        <v>100</v>
      </c>
      <c r="V84">
        <f t="shared" si="15"/>
        <v>100</v>
      </c>
      <c r="W84">
        <f t="shared" ca="1" si="16"/>
        <v>40</v>
      </c>
      <c r="X84">
        <f t="shared" si="17"/>
        <v>100</v>
      </c>
      <c r="Y84">
        <f t="shared" si="18"/>
        <v>100</v>
      </c>
      <c r="Z84">
        <f t="shared" si="19"/>
        <v>100</v>
      </c>
      <c r="AA84">
        <f t="shared" ca="1" si="20"/>
        <v>40</v>
      </c>
      <c r="AB84">
        <f t="shared" si="21"/>
        <v>100</v>
      </c>
      <c r="AC84">
        <f t="shared" ca="1" si="22"/>
        <v>85</v>
      </c>
      <c r="AD84" t="str">
        <f t="shared" si="23"/>
        <v>Approve</v>
      </c>
    </row>
    <row r="85" spans="1:30">
      <c r="A85" t="s">
        <v>60</v>
      </c>
      <c r="B85" t="s">
        <v>61</v>
      </c>
      <c r="C85" t="s">
        <v>16</v>
      </c>
      <c r="D85" t="s">
        <v>62</v>
      </c>
      <c r="E85" t="s">
        <v>17</v>
      </c>
      <c r="F85" s="1">
        <v>0.38</v>
      </c>
      <c r="G85">
        <v>4</v>
      </c>
      <c r="H85" s="2">
        <v>43994</v>
      </c>
      <c r="I85" t="s">
        <v>63</v>
      </c>
      <c r="J85" t="s">
        <v>24</v>
      </c>
      <c r="K85" t="s">
        <v>25</v>
      </c>
      <c r="L85" t="s">
        <v>26</v>
      </c>
      <c r="M85" t="s">
        <v>27</v>
      </c>
      <c r="N85" t="s">
        <v>28</v>
      </c>
      <c r="P85" s="3" t="s">
        <v>64</v>
      </c>
      <c r="Q85" s="3" t="s">
        <v>1209</v>
      </c>
      <c r="R85">
        <v>7</v>
      </c>
      <c r="S85">
        <f t="shared" ca="1" si="12"/>
        <v>6</v>
      </c>
      <c r="T85" s="4">
        <f t="shared" ca="1" si="13"/>
        <v>45311</v>
      </c>
      <c r="U85">
        <f t="shared" si="14"/>
        <v>75</v>
      </c>
      <c r="V85">
        <f t="shared" si="15"/>
        <v>50</v>
      </c>
      <c r="W85">
        <f t="shared" ca="1" si="16"/>
        <v>100</v>
      </c>
      <c r="X85">
        <f t="shared" si="17"/>
        <v>100</v>
      </c>
      <c r="Y85">
        <f t="shared" si="18"/>
        <v>75</v>
      </c>
      <c r="Z85">
        <f t="shared" si="19"/>
        <v>50</v>
      </c>
      <c r="AA85">
        <f t="shared" ca="1" si="20"/>
        <v>100</v>
      </c>
      <c r="AB85">
        <f t="shared" si="21"/>
        <v>100</v>
      </c>
      <c r="AC85">
        <f t="shared" ca="1" si="22"/>
        <v>80</v>
      </c>
      <c r="AD85" t="str">
        <f t="shared" si="23"/>
        <v>Request Revision</v>
      </c>
    </row>
    <row r="86" spans="1:30">
      <c r="A86" t="s">
        <v>585</v>
      </c>
      <c r="B86" t="s">
        <v>586</v>
      </c>
      <c r="C86" t="s">
        <v>587</v>
      </c>
      <c r="D86" t="s">
        <v>588</v>
      </c>
      <c r="E86" t="s">
        <v>589</v>
      </c>
      <c r="F86" s="1">
        <v>0.54</v>
      </c>
      <c r="G86">
        <v>4.2</v>
      </c>
      <c r="H86" s="2">
        <v>2014</v>
      </c>
      <c r="I86" t="s">
        <v>590</v>
      </c>
      <c r="J86" t="s">
        <v>591</v>
      </c>
      <c r="K86" t="s">
        <v>592</v>
      </c>
      <c r="L86" t="s">
        <v>593</v>
      </c>
      <c r="M86" t="s">
        <v>594</v>
      </c>
      <c r="N86" t="s">
        <v>595</v>
      </c>
      <c r="O86" t="s">
        <v>596</v>
      </c>
      <c r="P86" s="3" t="s">
        <v>597</v>
      </c>
      <c r="Q86" s="3" t="s">
        <v>1210</v>
      </c>
      <c r="R86">
        <v>7</v>
      </c>
      <c r="S86">
        <f t="shared" ca="1" si="12"/>
        <v>10</v>
      </c>
      <c r="T86" s="4">
        <f t="shared" ca="1" si="13"/>
        <v>45295</v>
      </c>
      <c r="U86">
        <f t="shared" si="14"/>
        <v>100</v>
      </c>
      <c r="V86">
        <f t="shared" si="15"/>
        <v>100</v>
      </c>
      <c r="W86">
        <f t="shared" ca="1" si="16"/>
        <v>70</v>
      </c>
      <c r="X86">
        <f t="shared" si="17"/>
        <v>100</v>
      </c>
      <c r="Y86">
        <f t="shared" si="18"/>
        <v>100</v>
      </c>
      <c r="Z86">
        <f t="shared" si="19"/>
        <v>100</v>
      </c>
      <c r="AA86">
        <f t="shared" ca="1" si="20"/>
        <v>70</v>
      </c>
      <c r="AB86">
        <f t="shared" si="21"/>
        <v>100</v>
      </c>
      <c r="AC86">
        <f t="shared" ca="1" si="22"/>
        <v>92.5</v>
      </c>
      <c r="AD86" t="str">
        <f t="shared" si="23"/>
        <v>Approve</v>
      </c>
    </row>
    <row r="87" spans="1:30">
      <c r="A87" t="s">
        <v>918</v>
      </c>
      <c r="B87" t="s">
        <v>919</v>
      </c>
      <c r="C87" t="s">
        <v>835</v>
      </c>
      <c r="D87" t="s">
        <v>292</v>
      </c>
      <c r="E87" t="s">
        <v>920</v>
      </c>
      <c r="F87" s="1">
        <v>0.41</v>
      </c>
      <c r="G87">
        <v>4.3</v>
      </c>
      <c r="H87" s="2">
        <v>1404</v>
      </c>
      <c r="I87" t="s">
        <v>921</v>
      </c>
      <c r="J87" t="s">
        <v>922</v>
      </c>
      <c r="K87" t="s">
        <v>923</v>
      </c>
      <c r="L87" t="s">
        <v>924</v>
      </c>
      <c r="M87" t="s">
        <v>925</v>
      </c>
      <c r="N87" t="s">
        <v>926</v>
      </c>
      <c r="O87" t="s">
        <v>927</v>
      </c>
      <c r="P87" s="3" t="s">
        <v>928</v>
      </c>
      <c r="Q87" s="3" t="s">
        <v>1211</v>
      </c>
      <c r="R87">
        <v>7</v>
      </c>
      <c r="S87">
        <f t="shared" ca="1" si="12"/>
        <v>4</v>
      </c>
      <c r="T87" s="4">
        <f t="shared" ca="1" si="13"/>
        <v>45309</v>
      </c>
      <c r="U87">
        <f t="shared" si="14"/>
        <v>100</v>
      </c>
      <c r="V87">
        <f t="shared" si="15"/>
        <v>100</v>
      </c>
      <c r="W87">
        <f t="shared" ca="1" si="16"/>
        <v>100</v>
      </c>
      <c r="X87">
        <f t="shared" si="17"/>
        <v>100</v>
      </c>
      <c r="Y87">
        <f t="shared" si="18"/>
        <v>100</v>
      </c>
      <c r="Z87">
        <f t="shared" si="19"/>
        <v>100</v>
      </c>
      <c r="AA87">
        <f t="shared" ca="1" si="20"/>
        <v>100</v>
      </c>
      <c r="AB87">
        <f t="shared" si="21"/>
        <v>100</v>
      </c>
      <c r="AC87">
        <f t="shared" ca="1" si="22"/>
        <v>100</v>
      </c>
      <c r="AD87" t="str">
        <f t="shared" si="23"/>
        <v>Approve</v>
      </c>
    </row>
    <row r="88" spans="1:30">
      <c r="A88" t="s">
        <v>215</v>
      </c>
      <c r="B88" t="s">
        <v>216</v>
      </c>
      <c r="C88" t="s">
        <v>16</v>
      </c>
      <c r="D88" t="s">
        <v>44</v>
      </c>
      <c r="E88" t="s">
        <v>57</v>
      </c>
      <c r="F88" s="1">
        <v>0.44</v>
      </c>
      <c r="G88">
        <v>4.2</v>
      </c>
      <c r="H88">
        <v>919</v>
      </c>
      <c r="I88" t="s">
        <v>217</v>
      </c>
      <c r="J88" t="s">
        <v>218</v>
      </c>
      <c r="K88" t="s">
        <v>219</v>
      </c>
      <c r="L88" t="s">
        <v>220</v>
      </c>
      <c r="M88" t="s">
        <v>221</v>
      </c>
      <c r="N88" t="s">
        <v>222</v>
      </c>
      <c r="P88" s="3" t="s">
        <v>223</v>
      </c>
      <c r="Q88" s="3" t="s">
        <v>1212</v>
      </c>
      <c r="R88">
        <v>7</v>
      </c>
      <c r="S88">
        <f t="shared" ca="1" si="12"/>
        <v>19</v>
      </c>
      <c r="T88" s="4">
        <f t="shared" ca="1" si="13"/>
        <v>45308</v>
      </c>
      <c r="U88">
        <f t="shared" si="14"/>
        <v>75</v>
      </c>
      <c r="V88">
        <f t="shared" si="15"/>
        <v>50</v>
      </c>
      <c r="W88">
        <f t="shared" ca="1" si="16"/>
        <v>0</v>
      </c>
      <c r="X88">
        <f t="shared" si="17"/>
        <v>100</v>
      </c>
      <c r="Y88">
        <f t="shared" si="18"/>
        <v>75</v>
      </c>
      <c r="Z88">
        <f t="shared" si="19"/>
        <v>50</v>
      </c>
      <c r="AA88">
        <f t="shared" ca="1" si="20"/>
        <v>0</v>
      </c>
      <c r="AB88">
        <f t="shared" si="21"/>
        <v>100</v>
      </c>
      <c r="AC88">
        <f t="shared" ca="1" si="22"/>
        <v>55</v>
      </c>
      <c r="AD88" t="str">
        <f t="shared" si="23"/>
        <v>Request Revision</v>
      </c>
    </row>
    <row r="89" spans="1:30">
      <c r="A89" t="s">
        <v>488</v>
      </c>
      <c r="B89" t="s">
        <v>489</v>
      </c>
      <c r="C89" t="s">
        <v>490</v>
      </c>
      <c r="D89" t="s">
        <v>258</v>
      </c>
      <c r="E89" t="s">
        <v>491</v>
      </c>
      <c r="F89" s="1">
        <v>0.6</v>
      </c>
      <c r="G89">
        <v>4</v>
      </c>
      <c r="H89" s="2">
        <v>68664</v>
      </c>
      <c r="J89" t="s">
        <v>492</v>
      </c>
      <c r="K89" t="s">
        <v>493</v>
      </c>
      <c r="L89" t="s">
        <v>494</v>
      </c>
      <c r="M89" t="s">
        <v>495</v>
      </c>
      <c r="N89" t="s">
        <v>496</v>
      </c>
      <c r="P89" s="3" t="s">
        <v>497</v>
      </c>
      <c r="Q89" s="3" t="s">
        <v>1213</v>
      </c>
      <c r="R89">
        <v>7</v>
      </c>
      <c r="S89">
        <f t="shared" ca="1" si="12"/>
        <v>17</v>
      </c>
      <c r="T89" s="4">
        <f t="shared" ca="1" si="13"/>
        <v>45306</v>
      </c>
      <c r="U89">
        <f t="shared" si="14"/>
        <v>50</v>
      </c>
      <c r="V89">
        <f t="shared" si="15"/>
        <v>0</v>
      </c>
      <c r="W89">
        <f t="shared" ca="1" si="16"/>
        <v>0</v>
      </c>
      <c r="X89">
        <f t="shared" si="17"/>
        <v>100</v>
      </c>
      <c r="Y89">
        <f t="shared" si="18"/>
        <v>50</v>
      </c>
      <c r="Z89">
        <f t="shared" si="19"/>
        <v>0</v>
      </c>
      <c r="AA89">
        <f t="shared" ca="1" si="20"/>
        <v>0</v>
      </c>
      <c r="AB89">
        <f t="shared" si="21"/>
        <v>100</v>
      </c>
      <c r="AC89">
        <f t="shared" ca="1" si="22"/>
        <v>35</v>
      </c>
      <c r="AD89" t="str">
        <f t="shared" si="23"/>
        <v>Escalate to Sr. Analyst</v>
      </c>
    </row>
    <row r="90" spans="1:30">
      <c r="A90" t="s">
        <v>793</v>
      </c>
      <c r="B90" t="s">
        <v>794</v>
      </c>
      <c r="C90" t="s">
        <v>788</v>
      </c>
      <c r="D90" t="s">
        <v>205</v>
      </c>
      <c r="E90" t="s">
        <v>795</v>
      </c>
      <c r="F90" s="1">
        <v>0.48</v>
      </c>
      <c r="G90">
        <v>3.9</v>
      </c>
      <c r="H90" s="2">
        <v>63350</v>
      </c>
      <c r="J90" t="s">
        <v>796</v>
      </c>
      <c r="K90" t="s">
        <v>797</v>
      </c>
      <c r="L90" t="s">
        <v>798</v>
      </c>
      <c r="M90" t="s">
        <v>799</v>
      </c>
      <c r="N90" t="s">
        <v>800</v>
      </c>
      <c r="O90" t="s">
        <v>801</v>
      </c>
      <c r="P90" s="3" t="s">
        <v>802</v>
      </c>
      <c r="Q90" s="3" t="s">
        <v>1214</v>
      </c>
      <c r="R90">
        <v>7</v>
      </c>
      <c r="S90">
        <f t="shared" ca="1" si="12"/>
        <v>16</v>
      </c>
      <c r="T90" s="4">
        <f t="shared" ca="1" si="13"/>
        <v>45318</v>
      </c>
      <c r="U90">
        <f t="shared" si="14"/>
        <v>75</v>
      </c>
      <c r="V90">
        <f t="shared" si="15"/>
        <v>50</v>
      </c>
      <c r="W90">
        <f t="shared" ca="1" si="16"/>
        <v>10</v>
      </c>
      <c r="X90">
        <f t="shared" si="17"/>
        <v>100</v>
      </c>
      <c r="Y90">
        <f t="shared" si="18"/>
        <v>75</v>
      </c>
      <c r="Z90">
        <f t="shared" si="19"/>
        <v>50</v>
      </c>
      <c r="AA90">
        <f t="shared" ca="1" si="20"/>
        <v>10</v>
      </c>
      <c r="AB90">
        <f t="shared" si="21"/>
        <v>100</v>
      </c>
      <c r="AC90">
        <f t="shared" ca="1" si="22"/>
        <v>57.5</v>
      </c>
      <c r="AD90" t="str">
        <f t="shared" si="23"/>
        <v>Request Revision</v>
      </c>
    </row>
    <row r="91" spans="1:30">
      <c r="A91" t="s">
        <v>689</v>
      </c>
      <c r="B91" t="s">
        <v>690</v>
      </c>
      <c r="C91" t="s">
        <v>467</v>
      </c>
      <c r="D91" t="s">
        <v>691</v>
      </c>
      <c r="E91" t="s">
        <v>146</v>
      </c>
      <c r="F91" s="1">
        <v>0.69</v>
      </c>
      <c r="G91">
        <v>4.0999999999999996</v>
      </c>
      <c r="H91">
        <v>352</v>
      </c>
      <c r="I91" t="s">
        <v>692</v>
      </c>
      <c r="J91" t="s">
        <v>693</v>
      </c>
      <c r="K91" t="s">
        <v>694</v>
      </c>
      <c r="L91" t="s">
        <v>695</v>
      </c>
      <c r="M91" t="s">
        <v>696</v>
      </c>
      <c r="N91" t="s">
        <v>697</v>
      </c>
      <c r="O91" t="s">
        <v>698</v>
      </c>
      <c r="P91" s="3" t="s">
        <v>699</v>
      </c>
      <c r="Q91" s="3" t="s">
        <v>1215</v>
      </c>
      <c r="R91">
        <v>7</v>
      </c>
      <c r="S91">
        <f t="shared" ca="1" si="12"/>
        <v>17</v>
      </c>
      <c r="T91" s="4">
        <f t="shared" ca="1" si="13"/>
        <v>45307</v>
      </c>
      <c r="U91">
        <f t="shared" si="14"/>
        <v>100</v>
      </c>
      <c r="V91">
        <f t="shared" si="15"/>
        <v>100</v>
      </c>
      <c r="W91">
        <f t="shared" ca="1" si="16"/>
        <v>0</v>
      </c>
      <c r="X91">
        <f t="shared" si="17"/>
        <v>100</v>
      </c>
      <c r="Y91">
        <f t="shared" si="18"/>
        <v>100</v>
      </c>
      <c r="Z91">
        <f t="shared" si="19"/>
        <v>100</v>
      </c>
      <c r="AA91">
        <f t="shared" ca="1" si="20"/>
        <v>0</v>
      </c>
      <c r="AB91">
        <f t="shared" si="21"/>
        <v>100</v>
      </c>
      <c r="AC91">
        <f t="shared" ca="1" si="22"/>
        <v>75</v>
      </c>
      <c r="AD91" t="str">
        <f t="shared" si="23"/>
        <v>Approve</v>
      </c>
    </row>
    <row r="92" spans="1:30">
      <c r="A92" t="s">
        <v>836</v>
      </c>
      <c r="B92" t="s">
        <v>837</v>
      </c>
      <c r="C92" t="s">
        <v>789</v>
      </c>
      <c r="D92" t="s">
        <v>18</v>
      </c>
      <c r="E92" t="s">
        <v>428</v>
      </c>
      <c r="F92" s="1">
        <v>0.54</v>
      </c>
      <c r="G92">
        <v>3.8</v>
      </c>
      <c r="H92">
        <v>4</v>
      </c>
      <c r="I92" t="s">
        <v>838</v>
      </c>
      <c r="J92" t="s">
        <v>839</v>
      </c>
      <c r="K92" t="s">
        <v>840</v>
      </c>
      <c r="L92" t="s">
        <v>841</v>
      </c>
      <c r="M92" t="s">
        <v>842</v>
      </c>
      <c r="N92" t="s">
        <v>843</v>
      </c>
      <c r="O92" t="s">
        <v>844</v>
      </c>
      <c r="P92" s="3" t="s">
        <v>845</v>
      </c>
      <c r="Q92" s="3" t="s">
        <v>1216</v>
      </c>
      <c r="R92">
        <v>7</v>
      </c>
      <c r="S92">
        <f t="shared" ca="1" si="12"/>
        <v>15</v>
      </c>
      <c r="T92" s="4">
        <f t="shared" ca="1" si="13"/>
        <v>45317</v>
      </c>
      <c r="U92">
        <f t="shared" si="14"/>
        <v>100</v>
      </c>
      <c r="V92">
        <f t="shared" si="15"/>
        <v>100</v>
      </c>
      <c r="W92">
        <f t="shared" ca="1" si="16"/>
        <v>20</v>
      </c>
      <c r="X92">
        <f t="shared" si="17"/>
        <v>100</v>
      </c>
      <c r="Y92">
        <f t="shared" si="18"/>
        <v>100</v>
      </c>
      <c r="Z92">
        <f t="shared" si="19"/>
        <v>100</v>
      </c>
      <c r="AA92">
        <f t="shared" ca="1" si="20"/>
        <v>20</v>
      </c>
      <c r="AB92">
        <f t="shared" si="21"/>
        <v>100</v>
      </c>
      <c r="AC92">
        <f t="shared" ca="1" si="22"/>
        <v>80</v>
      </c>
      <c r="AD92" t="str">
        <f t="shared" si="23"/>
        <v>Approve</v>
      </c>
    </row>
    <row r="93" spans="1:30">
      <c r="A93" t="s">
        <v>658</v>
      </c>
      <c r="B93" t="s">
        <v>659</v>
      </c>
      <c r="C93" t="s">
        <v>615</v>
      </c>
      <c r="D93" t="s">
        <v>44</v>
      </c>
      <c r="E93" t="s">
        <v>53</v>
      </c>
      <c r="F93" s="1">
        <v>0.38</v>
      </c>
      <c r="G93">
        <v>4.3</v>
      </c>
      <c r="H93" s="2">
        <v>2125</v>
      </c>
      <c r="I93" t="s">
        <v>660</v>
      </c>
      <c r="J93" t="s">
        <v>661</v>
      </c>
      <c r="K93" t="s">
        <v>662</v>
      </c>
      <c r="L93" t="s">
        <v>663</v>
      </c>
      <c r="M93" t="s">
        <v>664</v>
      </c>
      <c r="N93" t="s">
        <v>665</v>
      </c>
      <c r="O93" t="s">
        <v>666</v>
      </c>
      <c r="P93" s="3" t="s">
        <v>667</v>
      </c>
      <c r="Q93" s="3" t="s">
        <v>1217</v>
      </c>
      <c r="R93">
        <v>7</v>
      </c>
      <c r="S93">
        <f t="shared" ca="1" si="12"/>
        <v>10</v>
      </c>
      <c r="T93" s="4">
        <f t="shared" ca="1" si="13"/>
        <v>45306</v>
      </c>
      <c r="U93">
        <f t="shared" si="14"/>
        <v>100</v>
      </c>
      <c r="V93">
        <f t="shared" si="15"/>
        <v>100</v>
      </c>
      <c r="W93">
        <f t="shared" ca="1" si="16"/>
        <v>70</v>
      </c>
      <c r="X93">
        <f t="shared" si="17"/>
        <v>100</v>
      </c>
      <c r="Y93">
        <f t="shared" si="18"/>
        <v>100</v>
      </c>
      <c r="Z93">
        <f t="shared" si="19"/>
        <v>100</v>
      </c>
      <c r="AA93">
        <f t="shared" ca="1" si="20"/>
        <v>70</v>
      </c>
      <c r="AB93">
        <f t="shared" si="21"/>
        <v>100</v>
      </c>
      <c r="AC93">
        <f t="shared" ca="1" si="22"/>
        <v>92.5</v>
      </c>
      <c r="AD93" t="str">
        <f t="shared" si="23"/>
        <v>Approve</v>
      </c>
    </row>
    <row r="94" spans="1:30">
      <c r="A94" t="s">
        <v>416</v>
      </c>
      <c r="B94" t="s">
        <v>417</v>
      </c>
      <c r="C94" t="s">
        <v>302</v>
      </c>
      <c r="D94" t="s">
        <v>136</v>
      </c>
      <c r="E94" t="s">
        <v>275</v>
      </c>
      <c r="F94" s="1">
        <v>0.32</v>
      </c>
      <c r="G94">
        <v>4.0999999999999996</v>
      </c>
      <c r="H94" s="2">
        <v>50772</v>
      </c>
      <c r="I94" t="s">
        <v>418</v>
      </c>
      <c r="J94" t="s">
        <v>393</v>
      </c>
      <c r="K94" t="s">
        <v>394</v>
      </c>
      <c r="L94" t="s">
        <v>395</v>
      </c>
      <c r="M94" t="s">
        <v>396</v>
      </c>
      <c r="N94" t="s">
        <v>397</v>
      </c>
      <c r="P94" s="3" t="s">
        <v>419</v>
      </c>
      <c r="Q94" s="3" t="s">
        <v>1218</v>
      </c>
      <c r="R94">
        <v>7</v>
      </c>
      <c r="S94">
        <f t="shared" ca="1" si="12"/>
        <v>15</v>
      </c>
      <c r="T94" s="4">
        <f t="shared" ca="1" si="13"/>
        <v>45316</v>
      </c>
      <c r="U94">
        <f t="shared" si="14"/>
        <v>75</v>
      </c>
      <c r="V94">
        <f t="shared" si="15"/>
        <v>50</v>
      </c>
      <c r="W94">
        <f t="shared" ca="1" si="16"/>
        <v>20</v>
      </c>
      <c r="X94">
        <f t="shared" si="17"/>
        <v>100</v>
      </c>
      <c r="Y94">
        <f t="shared" si="18"/>
        <v>75</v>
      </c>
      <c r="Z94">
        <f t="shared" si="19"/>
        <v>50</v>
      </c>
      <c r="AA94">
        <f t="shared" ca="1" si="20"/>
        <v>20</v>
      </c>
      <c r="AB94">
        <f t="shared" si="21"/>
        <v>100</v>
      </c>
      <c r="AC94">
        <f t="shared" ca="1" si="22"/>
        <v>60</v>
      </c>
      <c r="AD94" t="str">
        <f t="shared" si="23"/>
        <v>Request Revision</v>
      </c>
    </row>
    <row r="95" spans="1:30">
      <c r="A95" t="s">
        <v>751</v>
      </c>
      <c r="B95" t="s">
        <v>1240</v>
      </c>
      <c r="C95" t="s">
        <v>752</v>
      </c>
      <c r="D95" t="s">
        <v>31</v>
      </c>
      <c r="E95" t="s">
        <v>174</v>
      </c>
      <c r="F95" s="1">
        <v>0.46</v>
      </c>
      <c r="G95">
        <v>4.3</v>
      </c>
      <c r="H95" s="2">
        <v>6183</v>
      </c>
      <c r="I95" t="s">
        <v>753</v>
      </c>
      <c r="J95" t="s">
        <v>754</v>
      </c>
      <c r="K95" t="s">
        <v>755</v>
      </c>
      <c r="L95" t="s">
        <v>756</v>
      </c>
      <c r="M95" t="s">
        <v>757</v>
      </c>
      <c r="N95" t="s">
        <v>758</v>
      </c>
      <c r="P95" s="3" t="s">
        <v>759</v>
      </c>
      <c r="Q95" s="3" t="s">
        <v>1219</v>
      </c>
      <c r="R95">
        <v>7</v>
      </c>
      <c r="S95">
        <f t="shared" ca="1" si="12"/>
        <v>7</v>
      </c>
      <c r="T95" s="4">
        <f t="shared" ca="1" si="13"/>
        <v>45292</v>
      </c>
      <c r="U95">
        <f t="shared" si="14"/>
        <v>75</v>
      </c>
      <c r="V95">
        <f t="shared" si="15"/>
        <v>50</v>
      </c>
      <c r="W95">
        <f t="shared" ca="1" si="16"/>
        <v>100</v>
      </c>
      <c r="X95">
        <f t="shared" si="17"/>
        <v>100</v>
      </c>
      <c r="Y95">
        <f t="shared" si="18"/>
        <v>75</v>
      </c>
      <c r="Z95">
        <f t="shared" si="19"/>
        <v>50</v>
      </c>
      <c r="AA95">
        <f t="shared" ca="1" si="20"/>
        <v>100</v>
      </c>
      <c r="AB95">
        <f t="shared" si="21"/>
        <v>100</v>
      </c>
      <c r="AC95">
        <f t="shared" ca="1" si="22"/>
        <v>80</v>
      </c>
      <c r="AD95" t="str">
        <f t="shared" si="23"/>
        <v>Request Revision</v>
      </c>
    </row>
    <row r="96" spans="1:30">
      <c r="A96" t="s">
        <v>700</v>
      </c>
      <c r="B96" t="s">
        <v>701</v>
      </c>
      <c r="C96" t="s">
        <v>571</v>
      </c>
      <c r="D96" t="s">
        <v>572</v>
      </c>
      <c r="E96" t="s">
        <v>573</v>
      </c>
      <c r="F96" s="1">
        <v>0.02</v>
      </c>
      <c r="G96">
        <v>4.5</v>
      </c>
      <c r="H96" s="2">
        <v>4428</v>
      </c>
      <c r="I96" t="s">
        <v>702</v>
      </c>
      <c r="J96" t="s">
        <v>703</v>
      </c>
      <c r="K96" t="s">
        <v>704</v>
      </c>
      <c r="L96" t="s">
        <v>705</v>
      </c>
      <c r="M96" t="s">
        <v>706</v>
      </c>
      <c r="N96" t="s">
        <v>707</v>
      </c>
      <c r="O96" t="s">
        <v>708</v>
      </c>
      <c r="P96" s="3" t="s">
        <v>709</v>
      </c>
      <c r="Q96" s="3" t="s">
        <v>1220</v>
      </c>
      <c r="R96">
        <v>7</v>
      </c>
      <c r="S96">
        <f t="shared" ca="1" si="12"/>
        <v>9</v>
      </c>
      <c r="T96" s="4">
        <f t="shared" ca="1" si="13"/>
        <v>45309</v>
      </c>
      <c r="U96">
        <f t="shared" si="14"/>
        <v>100</v>
      </c>
      <c r="V96">
        <f t="shared" si="15"/>
        <v>100</v>
      </c>
      <c r="W96">
        <f t="shared" ca="1" si="16"/>
        <v>80</v>
      </c>
      <c r="X96">
        <f t="shared" si="17"/>
        <v>100</v>
      </c>
      <c r="Y96">
        <f t="shared" si="18"/>
        <v>100</v>
      </c>
      <c r="Z96">
        <f t="shared" si="19"/>
        <v>100</v>
      </c>
      <c r="AA96">
        <f t="shared" ca="1" si="20"/>
        <v>80</v>
      </c>
      <c r="AB96">
        <f t="shared" si="21"/>
        <v>100</v>
      </c>
      <c r="AC96">
        <f t="shared" ca="1" si="22"/>
        <v>95</v>
      </c>
      <c r="AD96" t="str">
        <f t="shared" si="23"/>
        <v>Approve</v>
      </c>
    </row>
    <row r="97" spans="1:30">
      <c r="A97" t="s">
        <v>501</v>
      </c>
      <c r="B97" t="s">
        <v>502</v>
      </c>
      <c r="C97" t="s">
        <v>499</v>
      </c>
      <c r="D97" t="s">
        <v>31</v>
      </c>
      <c r="E97" t="s">
        <v>52</v>
      </c>
      <c r="F97" s="1">
        <v>0.3</v>
      </c>
      <c r="G97">
        <v>3.5</v>
      </c>
      <c r="H97" s="2">
        <v>15295</v>
      </c>
      <c r="I97" t="s">
        <v>503</v>
      </c>
      <c r="J97" t="s">
        <v>504</v>
      </c>
      <c r="K97" t="s">
        <v>505</v>
      </c>
      <c r="L97" t="s">
        <v>506</v>
      </c>
      <c r="M97" t="s">
        <v>507</v>
      </c>
      <c r="N97" t="s">
        <v>508</v>
      </c>
      <c r="P97" s="3" t="s">
        <v>509</v>
      </c>
      <c r="Q97" s="3" t="s">
        <v>1221</v>
      </c>
      <c r="R97">
        <v>7</v>
      </c>
      <c r="S97">
        <f t="shared" ca="1" si="12"/>
        <v>20</v>
      </c>
      <c r="T97" s="4">
        <f t="shared" ca="1" si="13"/>
        <v>45294</v>
      </c>
      <c r="U97">
        <f t="shared" si="14"/>
        <v>75</v>
      </c>
      <c r="V97">
        <f t="shared" si="15"/>
        <v>50</v>
      </c>
      <c r="W97">
        <f t="shared" ca="1" si="16"/>
        <v>0</v>
      </c>
      <c r="X97">
        <f t="shared" si="17"/>
        <v>100</v>
      </c>
      <c r="Y97">
        <f t="shared" si="18"/>
        <v>75</v>
      </c>
      <c r="Z97">
        <f t="shared" si="19"/>
        <v>50</v>
      </c>
      <c r="AA97">
        <f t="shared" ca="1" si="20"/>
        <v>0</v>
      </c>
      <c r="AB97">
        <f t="shared" si="21"/>
        <v>100</v>
      </c>
      <c r="AC97">
        <f t="shared" ca="1" si="22"/>
        <v>55</v>
      </c>
      <c r="AD97" t="str">
        <f t="shared" si="23"/>
        <v>Request Revision</v>
      </c>
    </row>
    <row r="98" spans="1:30">
      <c r="A98" t="s">
        <v>847</v>
      </c>
      <c r="B98" t="s">
        <v>848</v>
      </c>
      <c r="C98" t="s">
        <v>816</v>
      </c>
      <c r="D98" t="s">
        <v>131</v>
      </c>
      <c r="E98" t="s">
        <v>102</v>
      </c>
      <c r="F98" s="1">
        <v>0.37</v>
      </c>
      <c r="G98">
        <v>4</v>
      </c>
      <c r="H98" s="2">
        <v>1765</v>
      </c>
      <c r="I98" t="s">
        <v>849</v>
      </c>
      <c r="J98" t="s">
        <v>850</v>
      </c>
      <c r="K98" t="s">
        <v>851</v>
      </c>
      <c r="L98" t="s">
        <v>852</v>
      </c>
      <c r="M98" t="s">
        <v>853</v>
      </c>
      <c r="N98" t="s">
        <v>854</v>
      </c>
      <c r="O98" t="s">
        <v>855</v>
      </c>
      <c r="P98" s="3" t="s">
        <v>856</v>
      </c>
      <c r="Q98" s="3" t="s">
        <v>1222</v>
      </c>
      <c r="R98">
        <v>7</v>
      </c>
      <c r="S98">
        <f t="shared" ca="1" si="12"/>
        <v>4</v>
      </c>
      <c r="T98" s="4">
        <f t="shared" ca="1" si="13"/>
        <v>45311</v>
      </c>
      <c r="U98">
        <f t="shared" si="14"/>
        <v>100</v>
      </c>
      <c r="V98">
        <f t="shared" si="15"/>
        <v>100</v>
      </c>
      <c r="W98">
        <f t="shared" ca="1" si="16"/>
        <v>100</v>
      </c>
      <c r="X98">
        <f t="shared" si="17"/>
        <v>100</v>
      </c>
      <c r="Y98">
        <f t="shared" si="18"/>
        <v>100</v>
      </c>
      <c r="Z98">
        <f t="shared" si="19"/>
        <v>100</v>
      </c>
      <c r="AA98">
        <f t="shared" ca="1" si="20"/>
        <v>100</v>
      </c>
      <c r="AB98">
        <f t="shared" si="21"/>
        <v>100</v>
      </c>
      <c r="AC98">
        <f t="shared" ca="1" si="22"/>
        <v>100</v>
      </c>
      <c r="AD98" t="str">
        <f t="shared" si="23"/>
        <v>Approve</v>
      </c>
    </row>
    <row r="99" spans="1:30">
      <c r="A99" t="s">
        <v>206</v>
      </c>
      <c r="B99" t="s">
        <v>207</v>
      </c>
      <c r="C99" t="s">
        <v>16</v>
      </c>
      <c r="D99" t="s">
        <v>52</v>
      </c>
      <c r="E99" t="s">
        <v>134</v>
      </c>
      <c r="F99" s="1">
        <v>0.52</v>
      </c>
      <c r="G99">
        <v>4.5</v>
      </c>
      <c r="H99" s="2">
        <v>5492</v>
      </c>
      <c r="I99" t="s">
        <v>135</v>
      </c>
      <c r="J99" t="s">
        <v>208</v>
      </c>
      <c r="K99" t="s">
        <v>209</v>
      </c>
      <c r="L99" t="s">
        <v>210</v>
      </c>
      <c r="M99" t="s">
        <v>211</v>
      </c>
      <c r="N99" t="s">
        <v>212</v>
      </c>
      <c r="O99" t="s">
        <v>213</v>
      </c>
      <c r="P99" s="3" t="s">
        <v>214</v>
      </c>
      <c r="Q99" s="3" t="s">
        <v>1223</v>
      </c>
      <c r="R99">
        <v>7</v>
      </c>
      <c r="S99">
        <f t="shared" ca="1" si="12"/>
        <v>7</v>
      </c>
      <c r="T99" s="4">
        <f t="shared" ca="1" si="13"/>
        <v>45310</v>
      </c>
      <c r="U99">
        <f t="shared" si="14"/>
        <v>100</v>
      </c>
      <c r="V99">
        <f t="shared" si="15"/>
        <v>100</v>
      </c>
      <c r="W99">
        <f t="shared" ca="1" si="16"/>
        <v>100</v>
      </c>
      <c r="X99">
        <f t="shared" si="17"/>
        <v>100</v>
      </c>
      <c r="Y99">
        <f t="shared" si="18"/>
        <v>100</v>
      </c>
      <c r="Z99">
        <f t="shared" si="19"/>
        <v>100</v>
      </c>
      <c r="AA99">
        <f t="shared" ca="1" si="20"/>
        <v>100</v>
      </c>
      <c r="AB99">
        <f t="shared" si="21"/>
        <v>100</v>
      </c>
      <c r="AC99">
        <f t="shared" ca="1" si="22"/>
        <v>100</v>
      </c>
      <c r="AD99" t="str">
        <f t="shared" si="23"/>
        <v>Approve</v>
      </c>
    </row>
    <row r="100" spans="1:30">
      <c r="A100" t="s">
        <v>804</v>
      </c>
      <c r="B100" t="s">
        <v>805</v>
      </c>
      <c r="C100" t="s">
        <v>790</v>
      </c>
      <c r="D100" t="s">
        <v>806</v>
      </c>
      <c r="E100" t="s">
        <v>637</v>
      </c>
      <c r="F100" s="1">
        <v>0.11</v>
      </c>
      <c r="G100">
        <v>4.0999999999999996</v>
      </c>
      <c r="H100" s="2">
        <v>14120</v>
      </c>
      <c r="I100" t="s">
        <v>807</v>
      </c>
      <c r="J100" t="s">
        <v>808</v>
      </c>
      <c r="K100" t="s">
        <v>809</v>
      </c>
      <c r="L100" t="s">
        <v>810</v>
      </c>
      <c r="M100" t="s">
        <v>811</v>
      </c>
      <c r="N100" t="s">
        <v>812</v>
      </c>
      <c r="O100" t="s">
        <v>813</v>
      </c>
      <c r="P100" s="3" t="s">
        <v>814</v>
      </c>
      <c r="Q100" s="3" t="s">
        <v>1224</v>
      </c>
      <c r="R100">
        <v>7</v>
      </c>
      <c r="S100">
        <f t="shared" ca="1" si="12"/>
        <v>4</v>
      </c>
      <c r="T100" s="4">
        <f t="shared" ca="1" si="13"/>
        <v>45298</v>
      </c>
      <c r="U100">
        <f t="shared" si="14"/>
        <v>100</v>
      </c>
      <c r="V100">
        <f t="shared" si="15"/>
        <v>100</v>
      </c>
      <c r="W100">
        <f t="shared" ca="1" si="16"/>
        <v>100</v>
      </c>
      <c r="X100">
        <f t="shared" si="17"/>
        <v>100</v>
      </c>
      <c r="Y100">
        <f t="shared" si="18"/>
        <v>100</v>
      </c>
      <c r="Z100">
        <f t="shared" si="19"/>
        <v>100</v>
      </c>
      <c r="AA100">
        <f t="shared" ca="1" si="20"/>
        <v>100</v>
      </c>
      <c r="AB100">
        <f t="shared" si="21"/>
        <v>100</v>
      </c>
      <c r="AC100">
        <f t="shared" ca="1" si="22"/>
        <v>100</v>
      </c>
      <c r="AD100" t="str">
        <f t="shared" si="23"/>
        <v>Approve</v>
      </c>
    </row>
    <row r="101" spans="1:30">
      <c r="A101" t="s">
        <v>531</v>
      </c>
      <c r="B101" t="s">
        <v>532</v>
      </c>
      <c r="C101" t="s">
        <v>533</v>
      </c>
      <c r="D101" t="s">
        <v>17</v>
      </c>
      <c r="E101" t="s">
        <v>261</v>
      </c>
      <c r="F101" s="1">
        <v>0.6</v>
      </c>
      <c r="G101">
        <v>3.9</v>
      </c>
      <c r="H101" s="2">
        <v>21372</v>
      </c>
      <c r="J101" t="s">
        <v>534</v>
      </c>
      <c r="K101" t="s">
        <v>535</v>
      </c>
      <c r="L101" t="s">
        <v>536</v>
      </c>
      <c r="M101" t="s">
        <v>537</v>
      </c>
      <c r="N101" t="s">
        <v>538</v>
      </c>
      <c r="P101" s="3" t="s">
        <v>539</v>
      </c>
      <c r="Q101" s="3" t="s">
        <v>1225</v>
      </c>
      <c r="R101">
        <v>7</v>
      </c>
      <c r="S101">
        <f t="shared" ca="1" si="12"/>
        <v>9</v>
      </c>
      <c r="T101" s="4">
        <f t="shared" ca="1" si="13"/>
        <v>45312</v>
      </c>
      <c r="U101">
        <f t="shared" si="14"/>
        <v>50</v>
      </c>
      <c r="V101">
        <f t="shared" si="15"/>
        <v>0</v>
      </c>
      <c r="W101">
        <f t="shared" ca="1" si="16"/>
        <v>80</v>
      </c>
      <c r="X101">
        <f t="shared" si="17"/>
        <v>100</v>
      </c>
      <c r="Y101">
        <f t="shared" si="18"/>
        <v>50</v>
      </c>
      <c r="Z101">
        <f t="shared" si="19"/>
        <v>0</v>
      </c>
      <c r="AA101">
        <f t="shared" ca="1" si="20"/>
        <v>80</v>
      </c>
      <c r="AB101">
        <f t="shared" si="21"/>
        <v>100</v>
      </c>
      <c r="AC101">
        <f t="shared" ca="1" si="22"/>
        <v>55</v>
      </c>
      <c r="AD101" t="str">
        <f t="shared" si="23"/>
        <v>Escalate to Sr. Analyst</v>
      </c>
    </row>
    <row r="102" spans="1:30">
      <c r="F102" s="1"/>
      <c r="H102" s="2"/>
    </row>
    <row r="103" spans="1:30">
      <c r="F103" s="1"/>
      <c r="H103" s="2"/>
    </row>
    <row r="104" spans="1:30">
      <c r="F104" s="1"/>
      <c r="H104" s="2"/>
    </row>
    <row r="105" spans="1:30">
      <c r="F105" s="1"/>
    </row>
    <row r="106" spans="1:30">
      <c r="F106" s="1"/>
      <c r="H106" s="2"/>
    </row>
    <row r="107" spans="1:30">
      <c r="F107" s="1"/>
    </row>
    <row r="108" spans="1:30">
      <c r="F108" s="1"/>
      <c r="H108" s="2"/>
    </row>
    <row r="109" spans="1:30">
      <c r="F109" s="1"/>
    </row>
    <row r="110" spans="1:30">
      <c r="F110" s="1"/>
      <c r="H110" s="2"/>
    </row>
    <row r="111" spans="1:30">
      <c r="F111" s="1"/>
      <c r="H111" s="2"/>
    </row>
    <row r="112" spans="1:30">
      <c r="F112" s="1"/>
      <c r="H112" s="2"/>
    </row>
    <row r="113" spans="6:8">
      <c r="F113" s="1"/>
      <c r="H113" s="2"/>
    </row>
    <row r="114" spans="6:8">
      <c r="F114" s="1"/>
      <c r="H114" s="2"/>
    </row>
    <row r="115" spans="6:8">
      <c r="F115" s="1"/>
      <c r="H115" s="2"/>
    </row>
    <row r="116" spans="6:8">
      <c r="F116" s="1"/>
      <c r="H116" s="2"/>
    </row>
    <row r="117" spans="6:8">
      <c r="F117" s="1"/>
      <c r="H117" s="2"/>
    </row>
    <row r="118" spans="6:8">
      <c r="F118" s="1"/>
      <c r="H118" s="2"/>
    </row>
    <row r="119" spans="6:8">
      <c r="F119" s="1"/>
      <c r="H119" s="2"/>
    </row>
    <row r="120" spans="6:8">
      <c r="F120" s="1"/>
      <c r="H120" s="2"/>
    </row>
    <row r="121" spans="6:8">
      <c r="F121" s="1"/>
    </row>
    <row r="122" spans="6:8">
      <c r="F122" s="1"/>
    </row>
    <row r="123" spans="6:8">
      <c r="F123" s="1"/>
      <c r="H123" s="2"/>
    </row>
    <row r="124" spans="6:8">
      <c r="F124" s="1"/>
    </row>
    <row r="125" spans="6:8">
      <c r="F125" s="1"/>
      <c r="H125" s="2"/>
    </row>
    <row r="126" spans="6:8">
      <c r="F126" s="1"/>
      <c r="H126" s="2"/>
    </row>
    <row r="127" spans="6:8">
      <c r="F127" s="1"/>
      <c r="H127" s="2"/>
    </row>
    <row r="128" spans="6:8">
      <c r="F128" s="1"/>
      <c r="H128" s="2"/>
    </row>
    <row r="129" spans="6:8">
      <c r="F129" s="1"/>
    </row>
    <row r="130" spans="6:8">
      <c r="F130" s="1"/>
      <c r="H130" s="2"/>
    </row>
    <row r="131" spans="6:8">
      <c r="F131" s="1"/>
      <c r="H131" s="2"/>
    </row>
    <row r="132" spans="6:8">
      <c r="F132" s="1"/>
    </row>
    <row r="133" spans="6:8">
      <c r="F133" s="1"/>
      <c r="H133" s="2"/>
    </row>
    <row r="134" spans="6:8">
      <c r="F134" s="1"/>
    </row>
    <row r="135" spans="6:8">
      <c r="F135" s="1"/>
      <c r="H135" s="2"/>
    </row>
    <row r="136" spans="6:8">
      <c r="F136" s="1"/>
      <c r="H136" s="2"/>
    </row>
    <row r="137" spans="6:8">
      <c r="F137" s="1"/>
    </row>
    <row r="138" spans="6:8">
      <c r="F138" s="1"/>
      <c r="H138" s="2"/>
    </row>
    <row r="139" spans="6:8">
      <c r="F139" s="1"/>
    </row>
    <row r="140" spans="6:8">
      <c r="F140" s="1"/>
      <c r="H140" s="2"/>
    </row>
    <row r="141" spans="6:8">
      <c r="F141" s="1"/>
      <c r="H141" s="2"/>
    </row>
    <row r="142" spans="6:8">
      <c r="F142" s="1"/>
      <c r="H142" s="2"/>
    </row>
    <row r="143" spans="6:8">
      <c r="F143" s="1"/>
      <c r="H143" s="2"/>
    </row>
    <row r="144" spans="6:8">
      <c r="F144" s="1"/>
      <c r="H144" s="2"/>
    </row>
    <row r="145" spans="6:8">
      <c r="F145" s="1"/>
      <c r="H145" s="2"/>
    </row>
    <row r="146" spans="6:8">
      <c r="F146" s="1"/>
      <c r="H146" s="2"/>
    </row>
    <row r="147" spans="6:8">
      <c r="F147" s="1"/>
      <c r="H147" s="2"/>
    </row>
    <row r="148" spans="6:8">
      <c r="F148" s="1"/>
    </row>
    <row r="149" spans="6:8">
      <c r="F149" s="1"/>
      <c r="H149" s="2"/>
    </row>
    <row r="150" spans="6:8">
      <c r="F150" s="1"/>
      <c r="H150" s="2"/>
    </row>
    <row r="151" spans="6:8">
      <c r="F151" s="1"/>
      <c r="H151" s="2"/>
    </row>
    <row r="152" spans="6:8">
      <c r="F152" s="1"/>
    </row>
    <row r="153" spans="6:8">
      <c r="F153" s="1"/>
    </row>
    <row r="154" spans="6:8">
      <c r="F154" s="1"/>
      <c r="H154" s="2"/>
    </row>
    <row r="155" spans="6:8">
      <c r="F155" s="1"/>
      <c r="H155" s="2"/>
    </row>
    <row r="156" spans="6:8">
      <c r="F156" s="1"/>
      <c r="H156" s="2"/>
    </row>
    <row r="157" spans="6:8">
      <c r="F157" s="1"/>
    </row>
    <row r="158" spans="6:8">
      <c r="F158" s="1"/>
    </row>
    <row r="159" spans="6:8">
      <c r="F159" s="1"/>
      <c r="H159" s="2"/>
    </row>
    <row r="160" spans="6:8">
      <c r="F160" s="1"/>
      <c r="H160" s="2"/>
    </row>
    <row r="161" spans="6:8">
      <c r="F161" s="1"/>
      <c r="H161" s="2"/>
    </row>
    <row r="162" spans="6:8">
      <c r="F162" s="1"/>
      <c r="H162" s="2"/>
    </row>
    <row r="163" spans="6:8">
      <c r="F163" s="1"/>
    </row>
    <row r="164" spans="6:8">
      <c r="F164" s="1"/>
      <c r="H164" s="2"/>
    </row>
    <row r="165" spans="6:8">
      <c r="F165" s="1"/>
    </row>
    <row r="166" spans="6:8">
      <c r="F166" s="1"/>
    </row>
    <row r="167" spans="6:8">
      <c r="F167" s="1"/>
    </row>
    <row r="168" spans="6:8">
      <c r="F168" s="1"/>
      <c r="H168" s="2"/>
    </row>
    <row r="169" spans="6:8">
      <c r="F169" s="1"/>
      <c r="H169" s="2"/>
    </row>
    <row r="170" spans="6:8">
      <c r="F170" s="1"/>
      <c r="H170" s="2"/>
    </row>
    <row r="171" spans="6:8">
      <c r="F171" s="1"/>
    </row>
    <row r="172" spans="6:8">
      <c r="F172" s="1"/>
      <c r="H172" s="2"/>
    </row>
    <row r="173" spans="6:8">
      <c r="F173" s="1"/>
      <c r="H173" s="2"/>
    </row>
    <row r="174" spans="6:8">
      <c r="F174" s="1"/>
      <c r="H174" s="2"/>
    </row>
    <row r="175" spans="6:8">
      <c r="F175" s="1"/>
      <c r="H175" s="2"/>
    </row>
    <row r="176" spans="6:8">
      <c r="F176" s="1"/>
      <c r="H176" s="2"/>
    </row>
    <row r="177" spans="6:8">
      <c r="F177" s="1"/>
      <c r="H177" s="2"/>
    </row>
    <row r="178" spans="6:8">
      <c r="F178" s="1"/>
      <c r="H178" s="2"/>
    </row>
    <row r="179" spans="6:8">
      <c r="F179" s="1"/>
    </row>
    <row r="180" spans="6:8">
      <c r="F180" s="1"/>
      <c r="H180" s="2"/>
    </row>
    <row r="181" spans="6:8">
      <c r="F181" s="1"/>
      <c r="H181" s="2"/>
    </row>
    <row r="182" spans="6:8">
      <c r="F182" s="1"/>
      <c r="H182" s="2"/>
    </row>
    <row r="183" spans="6:8">
      <c r="F183" s="1"/>
      <c r="H183" s="2"/>
    </row>
    <row r="184" spans="6:8">
      <c r="F184" s="1"/>
      <c r="H184" s="2"/>
    </row>
    <row r="185" spans="6:8">
      <c r="F185" s="1"/>
      <c r="H185" s="2"/>
    </row>
    <row r="186" spans="6:8">
      <c r="F186" s="1"/>
      <c r="H186" s="2"/>
    </row>
    <row r="187" spans="6:8">
      <c r="F187" s="1"/>
      <c r="H187" s="2"/>
    </row>
    <row r="188" spans="6:8">
      <c r="F188" s="1"/>
      <c r="H188" s="2"/>
    </row>
    <row r="189" spans="6:8">
      <c r="F189" s="1"/>
      <c r="H189" s="2"/>
    </row>
    <row r="190" spans="6:8">
      <c r="F190" s="1"/>
    </row>
    <row r="191" spans="6:8">
      <c r="F191" s="1"/>
      <c r="H191" s="2"/>
    </row>
    <row r="192" spans="6:8">
      <c r="F192" s="1"/>
      <c r="H192" s="2"/>
    </row>
    <row r="193" spans="6:8">
      <c r="F193" s="1"/>
    </row>
    <row r="194" spans="6:8">
      <c r="F194" s="1"/>
    </row>
    <row r="195" spans="6:8">
      <c r="F195" s="1"/>
    </row>
    <row r="196" spans="6:8">
      <c r="F196" s="1"/>
    </row>
    <row r="197" spans="6:8">
      <c r="F197" s="1"/>
      <c r="H197" s="2"/>
    </row>
    <row r="198" spans="6:8">
      <c r="F198" s="1"/>
      <c r="H198" s="2"/>
    </row>
    <row r="199" spans="6:8">
      <c r="F199" s="1"/>
      <c r="H199" s="2"/>
    </row>
    <row r="200" spans="6:8">
      <c r="F200" s="1"/>
      <c r="H200" s="2"/>
    </row>
    <row r="201" spans="6:8">
      <c r="F201" s="1"/>
    </row>
    <row r="202" spans="6:8">
      <c r="F202" s="1"/>
      <c r="H202" s="2"/>
    </row>
    <row r="203" spans="6:8">
      <c r="F203" s="1"/>
      <c r="H203" s="2"/>
    </row>
    <row r="204" spans="6:8">
      <c r="F204" s="1"/>
      <c r="H204" s="2"/>
    </row>
    <row r="205" spans="6:8">
      <c r="F205" s="1"/>
      <c r="H205" s="2"/>
    </row>
    <row r="206" spans="6:8">
      <c r="F206" s="1"/>
      <c r="H206" s="2"/>
    </row>
    <row r="207" spans="6:8">
      <c r="F207" s="1"/>
      <c r="H207" s="2"/>
    </row>
    <row r="208" spans="6:8">
      <c r="F208" s="1"/>
    </row>
    <row r="209" spans="6:8">
      <c r="F209" s="1"/>
      <c r="H209" s="2"/>
    </row>
    <row r="210" spans="6:8">
      <c r="F210" s="1"/>
      <c r="H210" s="2"/>
    </row>
    <row r="211" spans="6:8">
      <c r="F211" s="1"/>
    </row>
    <row r="212" spans="6:8">
      <c r="F212" s="1"/>
      <c r="H212" s="2"/>
    </row>
    <row r="213" spans="6:8">
      <c r="F213" s="1"/>
      <c r="H213" s="2"/>
    </row>
    <row r="214" spans="6:8">
      <c r="F214" s="1"/>
      <c r="H214" s="2"/>
    </row>
    <row r="215" spans="6:8">
      <c r="F215" s="1"/>
    </row>
    <row r="216" spans="6:8">
      <c r="F216" s="1"/>
      <c r="H216" s="2"/>
    </row>
    <row r="217" spans="6:8">
      <c r="F217" s="1"/>
    </row>
    <row r="218" spans="6:8">
      <c r="F218" s="1"/>
      <c r="H218" s="2"/>
    </row>
    <row r="219" spans="6:8">
      <c r="F219" s="1"/>
    </row>
    <row r="220" spans="6:8">
      <c r="F220" s="1"/>
      <c r="H220" s="2"/>
    </row>
    <row r="221" spans="6:8">
      <c r="F221" s="1"/>
    </row>
    <row r="222" spans="6:8">
      <c r="F222" s="1"/>
      <c r="H222" s="2"/>
    </row>
    <row r="223" spans="6:8">
      <c r="F223" s="1"/>
      <c r="H223" s="2"/>
    </row>
    <row r="224" spans="6:8">
      <c r="F224" s="1"/>
      <c r="H224" s="2"/>
    </row>
    <row r="225" spans="6:8">
      <c r="F225" s="1"/>
    </row>
    <row r="226" spans="6:8">
      <c r="F226" s="1"/>
      <c r="H226" s="2"/>
    </row>
    <row r="227" spans="6:8">
      <c r="F227" s="1"/>
      <c r="H227" s="2"/>
    </row>
    <row r="228" spans="6:8">
      <c r="F228" s="1"/>
      <c r="H228" s="2"/>
    </row>
    <row r="229" spans="6:8">
      <c r="F229" s="1"/>
    </row>
    <row r="230" spans="6:8">
      <c r="F230" s="1"/>
    </row>
    <row r="231" spans="6:8">
      <c r="F231" s="1"/>
      <c r="H231" s="2"/>
    </row>
    <row r="232" spans="6:8">
      <c r="F232" s="1"/>
      <c r="H232" s="2"/>
    </row>
    <row r="233" spans="6:8">
      <c r="F233" s="1"/>
      <c r="H233" s="2"/>
    </row>
    <row r="234" spans="6:8">
      <c r="F234" s="1"/>
      <c r="H234" s="2"/>
    </row>
    <row r="235" spans="6:8">
      <c r="F235" s="1"/>
      <c r="H235" s="2"/>
    </row>
    <row r="236" spans="6:8">
      <c r="F236" s="1"/>
    </row>
    <row r="237" spans="6:8">
      <c r="F237" s="1"/>
      <c r="H237" s="2"/>
    </row>
    <row r="238" spans="6:8">
      <c r="F238" s="1"/>
      <c r="H238" s="2"/>
    </row>
    <row r="239" spans="6:8">
      <c r="F239" s="1"/>
      <c r="H239" s="2"/>
    </row>
    <row r="240" spans="6:8">
      <c r="F240" s="1"/>
      <c r="H240" s="2"/>
    </row>
    <row r="241" spans="6:8">
      <c r="F241" s="1"/>
      <c r="H241" s="2"/>
    </row>
    <row r="242" spans="6:8">
      <c r="F242" s="1"/>
      <c r="H242" s="2"/>
    </row>
    <row r="243" spans="6:8">
      <c r="F243" s="1"/>
    </row>
    <row r="244" spans="6:8">
      <c r="F244" s="1"/>
      <c r="H244" s="2"/>
    </row>
    <row r="245" spans="6:8">
      <c r="F245" s="1"/>
    </row>
    <row r="246" spans="6:8">
      <c r="F246" s="1"/>
      <c r="H246" s="2"/>
    </row>
    <row r="247" spans="6:8">
      <c r="F247" s="1"/>
      <c r="H247" s="2"/>
    </row>
    <row r="248" spans="6:8">
      <c r="F248" s="1"/>
      <c r="H248" s="2"/>
    </row>
    <row r="249" spans="6:8">
      <c r="F249" s="1"/>
      <c r="H249" s="2"/>
    </row>
    <row r="250" spans="6:8">
      <c r="F250" s="1"/>
    </row>
    <row r="251" spans="6:8">
      <c r="F251" s="1"/>
    </row>
    <row r="252" spans="6:8">
      <c r="F252" s="1"/>
      <c r="H252" s="2"/>
    </row>
    <row r="253" spans="6:8">
      <c r="F253" s="1"/>
      <c r="H253" s="2"/>
    </row>
    <row r="254" spans="6:8">
      <c r="F254" s="1"/>
      <c r="H254" s="2"/>
    </row>
    <row r="255" spans="6:8">
      <c r="F255" s="1"/>
    </row>
    <row r="256" spans="6:8">
      <c r="F256" s="1"/>
      <c r="H256" s="2"/>
    </row>
    <row r="257" spans="6:8">
      <c r="F257" s="1"/>
      <c r="H257" s="2"/>
    </row>
    <row r="258" spans="6:8">
      <c r="F258" s="1"/>
      <c r="H258" s="2"/>
    </row>
    <row r="259" spans="6:8">
      <c r="F259" s="1"/>
      <c r="H259" s="2"/>
    </row>
    <row r="260" spans="6:8">
      <c r="F260" s="1"/>
      <c r="H260" s="2"/>
    </row>
    <row r="261" spans="6:8">
      <c r="F261" s="1"/>
      <c r="H261" s="2"/>
    </row>
    <row r="262" spans="6:8">
      <c r="F262" s="1"/>
    </row>
    <row r="263" spans="6:8">
      <c r="F263" s="1"/>
      <c r="H263" s="2"/>
    </row>
    <row r="264" spans="6:8">
      <c r="F264" s="1"/>
      <c r="H264" s="2"/>
    </row>
    <row r="265" spans="6:8">
      <c r="F265" s="1"/>
      <c r="H265" s="2"/>
    </row>
    <row r="266" spans="6:8">
      <c r="F266" s="1"/>
      <c r="H266" s="2"/>
    </row>
    <row r="267" spans="6:8">
      <c r="F267" s="1"/>
    </row>
    <row r="268" spans="6:8">
      <c r="F268" s="1"/>
    </row>
    <row r="269" spans="6:8">
      <c r="F269" s="1"/>
      <c r="H269" s="2"/>
    </row>
    <row r="270" spans="6:8">
      <c r="F270" s="1"/>
    </row>
    <row r="271" spans="6:8">
      <c r="F271" s="1"/>
      <c r="H271" s="2"/>
    </row>
    <row r="272" spans="6:8">
      <c r="F272" s="1"/>
    </row>
    <row r="273" spans="6:8">
      <c r="F273" s="1"/>
    </row>
    <row r="274" spans="6:8">
      <c r="F274" s="1"/>
      <c r="H274" s="2"/>
    </row>
    <row r="275" spans="6:8">
      <c r="F275" s="1"/>
    </row>
    <row r="276" spans="6:8">
      <c r="F276" s="1"/>
      <c r="H276" s="2"/>
    </row>
    <row r="277" spans="6:8">
      <c r="F277" s="1"/>
      <c r="H277" s="2"/>
    </row>
    <row r="278" spans="6:8">
      <c r="F278" s="1"/>
    </row>
    <row r="279" spans="6:8">
      <c r="F279" s="1"/>
    </row>
    <row r="280" spans="6:8">
      <c r="F280" s="1"/>
      <c r="H280" s="2"/>
    </row>
    <row r="281" spans="6:8">
      <c r="F281" s="1"/>
      <c r="H281" s="2"/>
    </row>
    <row r="282" spans="6:8">
      <c r="F282" s="1"/>
      <c r="H282" s="2"/>
    </row>
    <row r="283" spans="6:8">
      <c r="F283" s="1"/>
      <c r="H283" s="2"/>
    </row>
    <row r="284" spans="6:8">
      <c r="F284" s="1"/>
      <c r="H284" s="2"/>
    </row>
    <row r="285" spans="6:8">
      <c r="F285" s="1"/>
    </row>
    <row r="286" spans="6:8">
      <c r="F286" s="1"/>
      <c r="H286" s="2"/>
    </row>
    <row r="287" spans="6:8">
      <c r="F287" s="1"/>
      <c r="H287" s="2"/>
    </row>
    <row r="288" spans="6:8">
      <c r="F288" s="1"/>
      <c r="H288" s="2"/>
    </row>
    <row r="289" spans="6:8">
      <c r="F289" s="1"/>
    </row>
    <row r="290" spans="6:8">
      <c r="F290" s="1"/>
      <c r="H290" s="2"/>
    </row>
    <row r="291" spans="6:8">
      <c r="F291" s="1"/>
      <c r="H291" s="2"/>
    </row>
    <row r="292" spans="6:8">
      <c r="F292" s="1"/>
      <c r="H292" s="2"/>
    </row>
    <row r="293" spans="6:8">
      <c r="F293" s="1"/>
      <c r="H293" s="2"/>
    </row>
    <row r="294" spans="6:8">
      <c r="F294" s="1"/>
      <c r="H294" s="2"/>
    </row>
    <row r="295" spans="6:8">
      <c r="F295" s="1"/>
      <c r="H295" s="2"/>
    </row>
    <row r="296" spans="6:8">
      <c r="F296" s="1"/>
      <c r="H296" s="2"/>
    </row>
    <row r="297" spans="6:8">
      <c r="F297" s="1"/>
      <c r="H297" s="2"/>
    </row>
    <row r="298" spans="6:8">
      <c r="F298" s="1"/>
      <c r="H298" s="2"/>
    </row>
    <row r="299" spans="6:8">
      <c r="F299" s="1"/>
    </row>
    <row r="300" spans="6:8">
      <c r="F300" s="1"/>
    </row>
    <row r="301" spans="6:8">
      <c r="F301" s="1"/>
    </row>
    <row r="302" spans="6:8">
      <c r="F302" s="1"/>
      <c r="H302" s="2"/>
    </row>
    <row r="303" spans="6:8">
      <c r="F303" s="1"/>
    </row>
    <row r="304" spans="6:8">
      <c r="F304" s="1"/>
      <c r="H304" s="2"/>
    </row>
    <row r="305" spans="6:8">
      <c r="F305" s="1"/>
    </row>
    <row r="306" spans="6:8">
      <c r="F306" s="1"/>
      <c r="H306" s="2"/>
    </row>
    <row r="307" spans="6:8">
      <c r="F307" s="1"/>
      <c r="H307" s="2"/>
    </row>
    <row r="308" spans="6:8">
      <c r="F308" s="1"/>
      <c r="H308" s="2"/>
    </row>
    <row r="309" spans="6:8">
      <c r="F309" s="1"/>
      <c r="H309" s="2"/>
    </row>
    <row r="310" spans="6:8">
      <c r="F310" s="1"/>
      <c r="H310" s="2"/>
    </row>
    <row r="311" spans="6:8">
      <c r="F311" s="1"/>
      <c r="H311" s="2"/>
    </row>
    <row r="312" spans="6:8">
      <c r="F312" s="1"/>
      <c r="H312" s="2"/>
    </row>
    <row r="313" spans="6:8">
      <c r="F313" s="1"/>
      <c r="H313" s="2"/>
    </row>
    <row r="314" spans="6:8">
      <c r="F314" s="1"/>
      <c r="H314" s="2"/>
    </row>
    <row r="315" spans="6:8">
      <c r="F315" s="1"/>
      <c r="H315" s="2"/>
    </row>
    <row r="316" spans="6:8">
      <c r="F316" s="1"/>
    </row>
    <row r="317" spans="6:8">
      <c r="F317" s="1"/>
    </row>
    <row r="318" spans="6:8">
      <c r="F318" s="1"/>
    </row>
    <row r="319" spans="6:8">
      <c r="F319" s="1"/>
      <c r="H319" s="2"/>
    </row>
    <row r="320" spans="6:8">
      <c r="F320" s="1"/>
    </row>
    <row r="321" spans="6:8">
      <c r="F321" s="1"/>
      <c r="H321" s="2"/>
    </row>
    <row r="322" spans="6:8">
      <c r="F322" s="1"/>
    </row>
    <row r="323" spans="6:8">
      <c r="F323" s="1"/>
      <c r="H323" s="2"/>
    </row>
    <row r="324" spans="6:8">
      <c r="F324" s="1"/>
      <c r="H324" s="2"/>
    </row>
    <row r="325" spans="6:8">
      <c r="F325" s="1"/>
      <c r="H325" s="2"/>
    </row>
    <row r="326" spans="6:8">
      <c r="F326" s="1"/>
    </row>
    <row r="327" spans="6:8">
      <c r="F327" s="1"/>
      <c r="H327" s="2"/>
    </row>
    <row r="328" spans="6:8">
      <c r="F328" s="1"/>
      <c r="H328" s="2"/>
    </row>
    <row r="329" spans="6:8">
      <c r="F329" s="1"/>
    </row>
    <row r="330" spans="6:8">
      <c r="F330" s="1"/>
      <c r="H330" s="2"/>
    </row>
    <row r="331" spans="6:8">
      <c r="F331" s="1"/>
      <c r="H331" s="2"/>
    </row>
    <row r="332" spans="6:8">
      <c r="F332" s="1"/>
      <c r="H332" s="2"/>
    </row>
    <row r="333" spans="6:8">
      <c r="F333" s="1"/>
      <c r="H333" s="2"/>
    </row>
    <row r="334" spans="6:8">
      <c r="F334" s="1"/>
      <c r="H334" s="2"/>
    </row>
    <row r="335" spans="6:8">
      <c r="F335" s="1"/>
      <c r="H335" s="2"/>
    </row>
    <row r="336" spans="6:8">
      <c r="F336" s="1"/>
      <c r="H336" s="2"/>
    </row>
    <row r="337" spans="6:8">
      <c r="F337" s="1"/>
      <c r="H337" s="2"/>
    </row>
    <row r="338" spans="6:8">
      <c r="F338" s="1"/>
      <c r="H338" s="2"/>
    </row>
    <row r="339" spans="6:8">
      <c r="F339" s="1"/>
      <c r="H339" s="2"/>
    </row>
    <row r="340" spans="6:8">
      <c r="F340" s="1"/>
      <c r="H340" s="2"/>
    </row>
    <row r="341" spans="6:8">
      <c r="F341" s="1"/>
    </row>
    <row r="342" spans="6:8">
      <c r="F342" s="1"/>
      <c r="H342" s="2"/>
    </row>
    <row r="343" spans="6:8">
      <c r="F343" s="1"/>
    </row>
    <row r="344" spans="6:8">
      <c r="F344" s="1"/>
      <c r="H344" s="2"/>
    </row>
    <row r="345" spans="6:8">
      <c r="F345" s="1"/>
      <c r="H345" s="2"/>
    </row>
    <row r="346" spans="6:8">
      <c r="F346" s="1"/>
      <c r="H346" s="2"/>
    </row>
    <row r="347" spans="6:8">
      <c r="F347" s="1"/>
      <c r="H347" s="2"/>
    </row>
    <row r="348" spans="6:8">
      <c r="F348" s="1"/>
    </row>
    <row r="349" spans="6:8">
      <c r="F349" s="1"/>
      <c r="H349" s="2"/>
    </row>
    <row r="350" spans="6:8">
      <c r="F350" s="1"/>
      <c r="H350" s="2"/>
    </row>
    <row r="351" spans="6:8">
      <c r="F351" s="1"/>
      <c r="H351" s="2"/>
    </row>
    <row r="352" spans="6:8">
      <c r="F352" s="1"/>
    </row>
    <row r="353" spans="6:8">
      <c r="F353" s="1"/>
      <c r="H353" s="2"/>
    </row>
    <row r="354" spans="6:8">
      <c r="F354" s="1"/>
      <c r="H354" s="2"/>
    </row>
    <row r="355" spans="6:8">
      <c r="F355" s="1"/>
      <c r="H355" s="2"/>
    </row>
    <row r="356" spans="6:8">
      <c r="F356" s="1"/>
      <c r="H356" s="2"/>
    </row>
    <row r="357" spans="6:8">
      <c r="F357" s="1"/>
      <c r="H357" s="2"/>
    </row>
    <row r="358" spans="6:8">
      <c r="F358" s="1"/>
      <c r="H358" s="2"/>
    </row>
    <row r="359" spans="6:8">
      <c r="F359" s="1"/>
    </row>
    <row r="360" spans="6:8">
      <c r="F360" s="1"/>
      <c r="H360" s="2"/>
    </row>
    <row r="361" spans="6:8">
      <c r="F361" s="1"/>
    </row>
    <row r="362" spans="6:8">
      <c r="F362" s="1"/>
      <c r="H362" s="2"/>
    </row>
    <row r="363" spans="6:8">
      <c r="F363" s="1"/>
      <c r="H363" s="2"/>
    </row>
    <row r="364" spans="6:8">
      <c r="F364" s="1"/>
    </row>
    <row r="365" spans="6:8">
      <c r="F365" s="1"/>
      <c r="H365" s="2"/>
    </row>
    <row r="366" spans="6:8">
      <c r="F366" s="1"/>
      <c r="H366" s="2"/>
    </row>
    <row r="367" spans="6:8">
      <c r="F367" s="1"/>
      <c r="H367" s="2"/>
    </row>
    <row r="368" spans="6:8">
      <c r="F368" s="1"/>
      <c r="H368" s="2"/>
    </row>
    <row r="369" spans="6:8">
      <c r="F369" s="1"/>
      <c r="H369" s="2"/>
    </row>
    <row r="370" spans="6:8">
      <c r="F370" s="1"/>
      <c r="H370" s="2"/>
    </row>
    <row r="371" spans="6:8">
      <c r="F371" s="1"/>
      <c r="H371" s="2"/>
    </row>
    <row r="372" spans="6:8">
      <c r="F372" s="1"/>
      <c r="H372" s="2"/>
    </row>
    <row r="373" spans="6:8">
      <c r="F373" s="1"/>
    </row>
    <row r="374" spans="6:8">
      <c r="F374" s="1"/>
    </row>
    <row r="375" spans="6:8">
      <c r="F375" s="1"/>
    </row>
    <row r="376" spans="6:8">
      <c r="F376" s="1"/>
      <c r="H376" s="2"/>
    </row>
    <row r="377" spans="6:8">
      <c r="F377" s="1"/>
      <c r="H377" s="2"/>
    </row>
    <row r="378" spans="6:8">
      <c r="F378" s="1"/>
      <c r="H378" s="2"/>
    </row>
    <row r="379" spans="6:8">
      <c r="F379" s="1"/>
      <c r="H379" s="2"/>
    </row>
    <row r="380" spans="6:8">
      <c r="F380" s="1"/>
      <c r="H380" s="2"/>
    </row>
    <row r="381" spans="6:8">
      <c r="F381" s="1"/>
      <c r="H381" s="2"/>
    </row>
    <row r="382" spans="6:8">
      <c r="F382" s="1"/>
      <c r="H382" s="2"/>
    </row>
    <row r="383" spans="6:8">
      <c r="F383" s="1"/>
      <c r="H383" s="2"/>
    </row>
    <row r="384" spans="6:8">
      <c r="F384" s="1"/>
      <c r="H384" s="2"/>
    </row>
    <row r="385" spans="6:8">
      <c r="F385" s="1"/>
      <c r="H385" s="2"/>
    </row>
    <row r="386" spans="6:8">
      <c r="F386" s="1"/>
      <c r="H386" s="2"/>
    </row>
    <row r="387" spans="6:8">
      <c r="F387" s="1"/>
    </row>
    <row r="388" spans="6:8">
      <c r="F388" s="1"/>
      <c r="H388" s="2"/>
    </row>
    <row r="389" spans="6:8">
      <c r="F389" s="1"/>
      <c r="H389" s="2"/>
    </row>
    <row r="390" spans="6:8">
      <c r="F390" s="1"/>
      <c r="H390" s="2"/>
    </row>
    <row r="391" spans="6:8">
      <c r="F391" s="1"/>
      <c r="H391" s="2"/>
    </row>
    <row r="392" spans="6:8">
      <c r="F392" s="1"/>
      <c r="H392" s="2"/>
    </row>
    <row r="393" spans="6:8">
      <c r="F393" s="1"/>
      <c r="H393" s="2"/>
    </row>
    <row r="394" spans="6:8">
      <c r="F394" s="1"/>
      <c r="H394" s="2"/>
    </row>
    <row r="395" spans="6:8">
      <c r="F395" s="1"/>
      <c r="H395" s="2"/>
    </row>
    <row r="396" spans="6:8">
      <c r="F396" s="1"/>
    </row>
    <row r="397" spans="6:8">
      <c r="F397" s="1"/>
      <c r="H397" s="2"/>
    </row>
    <row r="398" spans="6:8">
      <c r="F398" s="1"/>
      <c r="H398" s="2"/>
    </row>
    <row r="399" spans="6:8">
      <c r="F399" s="1"/>
    </row>
    <row r="400" spans="6:8">
      <c r="F400" s="1"/>
      <c r="H400" s="2"/>
    </row>
    <row r="401" spans="6:8">
      <c r="F401" s="1"/>
    </row>
    <row r="402" spans="6:8">
      <c r="F402" s="1"/>
    </row>
    <row r="403" spans="6:8">
      <c r="F403" s="1"/>
      <c r="H403" s="2"/>
    </row>
    <row r="404" spans="6:8">
      <c r="F404" s="1"/>
    </row>
    <row r="405" spans="6:8">
      <c r="F405" s="1"/>
      <c r="H405" s="2"/>
    </row>
    <row r="406" spans="6:8">
      <c r="F406" s="1"/>
      <c r="H406" s="2"/>
    </row>
    <row r="407" spans="6:8">
      <c r="F407" s="1"/>
      <c r="H407" s="2"/>
    </row>
    <row r="408" spans="6:8">
      <c r="F408" s="1"/>
      <c r="H408" s="2"/>
    </row>
    <row r="409" spans="6:8">
      <c r="F409" s="1"/>
      <c r="H409" s="2"/>
    </row>
    <row r="410" spans="6:8">
      <c r="F410" s="1"/>
    </row>
    <row r="411" spans="6:8">
      <c r="F411" s="1"/>
      <c r="H411" s="2"/>
    </row>
    <row r="412" spans="6:8">
      <c r="F412" s="1"/>
      <c r="H412" s="2"/>
    </row>
    <row r="413" spans="6:8">
      <c r="F413" s="1"/>
      <c r="H413" s="2"/>
    </row>
    <row r="414" spans="6:8">
      <c r="F414" s="1"/>
      <c r="H414" s="2"/>
    </row>
    <row r="415" spans="6:8">
      <c r="F415" s="1"/>
      <c r="H415" s="2"/>
    </row>
    <row r="416" spans="6:8">
      <c r="F416" s="1"/>
    </row>
    <row r="417" spans="6:8">
      <c r="F417" s="1"/>
    </row>
    <row r="418" spans="6:8">
      <c r="F418" s="1"/>
      <c r="H418" s="2"/>
    </row>
    <row r="419" spans="6:8">
      <c r="F419" s="1"/>
      <c r="H419" s="2"/>
    </row>
    <row r="420" spans="6:8">
      <c r="F420" s="1"/>
      <c r="H420" s="2"/>
    </row>
    <row r="421" spans="6:8">
      <c r="F421" s="1"/>
    </row>
    <row r="422" spans="6:8">
      <c r="F422" s="1"/>
      <c r="H422" s="2"/>
    </row>
    <row r="423" spans="6:8">
      <c r="F423" s="1"/>
    </row>
    <row r="424" spans="6:8">
      <c r="F424" s="1"/>
      <c r="H424" s="2"/>
    </row>
    <row r="425" spans="6:8">
      <c r="F425" s="1"/>
    </row>
    <row r="426" spans="6:8">
      <c r="F426" s="1"/>
      <c r="H426" s="2"/>
    </row>
    <row r="427" spans="6:8">
      <c r="F427" s="1"/>
      <c r="H427" s="2"/>
    </row>
    <row r="428" spans="6:8">
      <c r="F428" s="1"/>
    </row>
    <row r="429" spans="6:8">
      <c r="F429" s="1"/>
      <c r="H429" s="2"/>
    </row>
    <row r="430" spans="6:8">
      <c r="F430" s="1"/>
    </row>
    <row r="431" spans="6:8">
      <c r="F431" s="1"/>
      <c r="H431" s="2"/>
    </row>
    <row r="432" spans="6:8">
      <c r="F432" s="1"/>
      <c r="H432" s="2"/>
    </row>
    <row r="433" spans="6:8">
      <c r="F433" s="1"/>
      <c r="H433" s="2"/>
    </row>
    <row r="434" spans="6:8">
      <c r="F434" s="1"/>
    </row>
    <row r="435" spans="6:8">
      <c r="F435" s="1"/>
      <c r="H435" s="2"/>
    </row>
    <row r="436" spans="6:8">
      <c r="F436" s="1"/>
      <c r="H436" s="2"/>
    </row>
    <row r="437" spans="6:8">
      <c r="F437" s="1"/>
      <c r="H437" s="2"/>
    </row>
    <row r="438" spans="6:8">
      <c r="F438" s="1"/>
      <c r="H438" s="2"/>
    </row>
    <row r="439" spans="6:8">
      <c r="F439" s="1"/>
      <c r="H439" s="2"/>
    </row>
    <row r="440" spans="6:8">
      <c r="F440" s="1"/>
      <c r="H440" s="2"/>
    </row>
    <row r="441" spans="6:8">
      <c r="F441" s="1"/>
      <c r="H441" s="2"/>
    </row>
    <row r="442" spans="6:8">
      <c r="F442" s="1"/>
      <c r="H442" s="2"/>
    </row>
    <row r="443" spans="6:8">
      <c r="F443" s="1"/>
      <c r="H443" s="2"/>
    </row>
    <row r="444" spans="6:8">
      <c r="F444" s="1"/>
      <c r="H444" s="2"/>
    </row>
    <row r="445" spans="6:8">
      <c r="F445" s="1"/>
    </row>
    <row r="446" spans="6:8">
      <c r="F446" s="1"/>
    </row>
    <row r="447" spans="6:8">
      <c r="F447" s="1"/>
      <c r="H447" s="2"/>
    </row>
    <row r="448" spans="6:8">
      <c r="F448" s="1"/>
      <c r="H448" s="2"/>
    </row>
    <row r="449" spans="6:8">
      <c r="F449" s="1"/>
      <c r="H449" s="2"/>
    </row>
    <row r="450" spans="6:8">
      <c r="F450" s="1"/>
      <c r="H450" s="2"/>
    </row>
    <row r="451" spans="6:8">
      <c r="F451" s="1"/>
      <c r="H451" s="2"/>
    </row>
    <row r="452" spans="6:8">
      <c r="F452" s="1"/>
    </row>
    <row r="453" spans="6:8">
      <c r="F453" s="1"/>
      <c r="H453" s="2"/>
    </row>
    <row r="454" spans="6:8">
      <c r="F454" s="1"/>
    </row>
    <row r="455" spans="6:8">
      <c r="F455" s="1"/>
    </row>
    <row r="456" spans="6:8">
      <c r="F456" s="1"/>
    </row>
    <row r="457" spans="6:8">
      <c r="F457" s="1"/>
      <c r="H457" s="2"/>
    </row>
    <row r="458" spans="6:8">
      <c r="F458" s="1"/>
      <c r="H458" s="2"/>
    </row>
    <row r="459" spans="6:8">
      <c r="F459" s="1"/>
      <c r="H459" s="2"/>
    </row>
    <row r="460" spans="6:8">
      <c r="F460" s="1"/>
      <c r="H460" s="2"/>
    </row>
    <row r="461" spans="6:8">
      <c r="F461" s="1"/>
    </row>
    <row r="462" spans="6:8">
      <c r="F462" s="1"/>
    </row>
    <row r="463" spans="6:8">
      <c r="F463" s="1"/>
      <c r="H463" s="2"/>
    </row>
    <row r="464" spans="6:8">
      <c r="F464" s="1"/>
      <c r="H464" s="2"/>
    </row>
    <row r="465" spans="6:8">
      <c r="F465" s="1"/>
      <c r="H465" s="2"/>
    </row>
    <row r="466" spans="6:8">
      <c r="F466" s="1"/>
    </row>
    <row r="467" spans="6:8">
      <c r="F467" s="1"/>
      <c r="H467" s="2"/>
    </row>
    <row r="468" spans="6:8">
      <c r="F468" s="1"/>
      <c r="H468" s="2"/>
    </row>
    <row r="469" spans="6:8">
      <c r="F469" s="1"/>
      <c r="H469" s="2"/>
    </row>
    <row r="470" spans="6:8">
      <c r="F470" s="1"/>
      <c r="H470" s="2"/>
    </row>
    <row r="471" spans="6:8">
      <c r="F471" s="1"/>
      <c r="H471" s="2"/>
    </row>
    <row r="472" spans="6:8">
      <c r="F472" s="1"/>
      <c r="H472" s="2"/>
    </row>
    <row r="473" spans="6:8">
      <c r="F473" s="1"/>
      <c r="H473" s="2"/>
    </row>
    <row r="474" spans="6:8">
      <c r="F474" s="1"/>
    </row>
    <row r="475" spans="6:8">
      <c r="F475" s="1"/>
    </row>
    <row r="476" spans="6:8">
      <c r="F476" s="1"/>
      <c r="H476" s="2"/>
    </row>
    <row r="477" spans="6:8">
      <c r="F477" s="1"/>
    </row>
    <row r="478" spans="6:8">
      <c r="F478" s="1"/>
    </row>
    <row r="479" spans="6:8">
      <c r="F479" s="1"/>
      <c r="H479" s="2"/>
    </row>
    <row r="480" spans="6:8">
      <c r="F480" s="1"/>
      <c r="H480" s="2"/>
    </row>
    <row r="481" spans="6:8">
      <c r="F481" s="1"/>
      <c r="H481" s="2"/>
    </row>
    <row r="482" spans="6:8">
      <c r="F482" s="1"/>
      <c r="H482" s="2"/>
    </row>
    <row r="483" spans="6:8">
      <c r="F483" s="1"/>
    </row>
    <row r="484" spans="6:8">
      <c r="F484" s="1"/>
      <c r="H484" s="2"/>
    </row>
    <row r="485" spans="6:8">
      <c r="F485" s="1"/>
    </row>
    <row r="486" spans="6:8">
      <c r="F486" s="1"/>
    </row>
    <row r="487" spans="6:8">
      <c r="F487" s="1"/>
    </row>
    <row r="488" spans="6:8">
      <c r="F488" s="1"/>
    </row>
    <row r="489" spans="6:8">
      <c r="F489" s="1"/>
      <c r="H489" s="2"/>
    </row>
    <row r="490" spans="6:8">
      <c r="F490" s="1"/>
      <c r="H490" s="2"/>
    </row>
    <row r="491" spans="6:8">
      <c r="F491" s="1"/>
      <c r="H491" s="2"/>
    </row>
    <row r="492" spans="6:8">
      <c r="F492" s="1"/>
    </row>
    <row r="493" spans="6:8">
      <c r="F493" s="1"/>
      <c r="H493" s="2"/>
    </row>
    <row r="494" spans="6:8">
      <c r="F494" s="1"/>
      <c r="H494" s="2"/>
    </row>
    <row r="495" spans="6:8">
      <c r="F495" s="1"/>
      <c r="H495" s="2"/>
    </row>
    <row r="496" spans="6:8">
      <c r="F496" s="1"/>
      <c r="H496" s="2"/>
    </row>
    <row r="497" spans="6:8">
      <c r="F497" s="1"/>
      <c r="H497" s="2"/>
    </row>
    <row r="498" spans="6:8">
      <c r="F498" s="1"/>
      <c r="H498" s="2"/>
    </row>
    <row r="499" spans="6:8">
      <c r="F499" s="1"/>
      <c r="H499" s="2"/>
    </row>
    <row r="500" spans="6:8">
      <c r="F500" s="1"/>
      <c r="H500" s="2"/>
    </row>
    <row r="501" spans="6:8">
      <c r="F501" s="1"/>
    </row>
    <row r="502" spans="6:8">
      <c r="F502" s="1"/>
      <c r="H502" s="2"/>
    </row>
    <row r="503" spans="6:8">
      <c r="F503" s="1"/>
      <c r="H503" s="2"/>
    </row>
    <row r="504" spans="6:8">
      <c r="F504" s="1"/>
      <c r="H504" s="2"/>
    </row>
    <row r="505" spans="6:8">
      <c r="F505" s="1"/>
      <c r="H505" s="2"/>
    </row>
    <row r="506" spans="6:8">
      <c r="F506" s="1"/>
      <c r="H506" s="2"/>
    </row>
    <row r="507" spans="6:8">
      <c r="F507" s="1"/>
    </row>
    <row r="508" spans="6:8">
      <c r="F508" s="1"/>
      <c r="H508" s="2"/>
    </row>
    <row r="509" spans="6:8">
      <c r="F509" s="1"/>
      <c r="H509" s="2"/>
    </row>
    <row r="510" spans="6:8">
      <c r="F510" s="1"/>
    </row>
    <row r="511" spans="6:8">
      <c r="F511" s="1"/>
    </row>
    <row r="512" spans="6:8">
      <c r="F512" s="1"/>
      <c r="H512" s="2"/>
    </row>
    <row r="513" spans="6:8">
      <c r="F513" s="1"/>
      <c r="H513" s="2"/>
    </row>
    <row r="514" spans="6:8">
      <c r="F514" s="1"/>
      <c r="H514" s="2"/>
    </row>
    <row r="515" spans="6:8">
      <c r="F515" s="1"/>
      <c r="H515" s="2"/>
    </row>
    <row r="516" spans="6:8">
      <c r="F516" s="1"/>
      <c r="H516" s="2"/>
    </row>
    <row r="517" spans="6:8">
      <c r="F517" s="1"/>
      <c r="H517" s="2"/>
    </row>
    <row r="518" spans="6:8">
      <c r="F518" s="1"/>
      <c r="H518" s="2"/>
    </row>
    <row r="519" spans="6:8">
      <c r="F519" s="1"/>
      <c r="H519" s="2"/>
    </row>
    <row r="520" spans="6:8">
      <c r="F520" s="1"/>
      <c r="H520" s="2"/>
    </row>
    <row r="521" spans="6:8">
      <c r="F521" s="1"/>
      <c r="H521" s="2"/>
    </row>
    <row r="522" spans="6:8">
      <c r="F522" s="1"/>
      <c r="H522" s="2"/>
    </row>
    <row r="523" spans="6:8">
      <c r="F523" s="1"/>
      <c r="H523" s="2"/>
    </row>
    <row r="524" spans="6:8">
      <c r="F524" s="1"/>
      <c r="H524" s="2"/>
    </row>
    <row r="525" spans="6:8">
      <c r="F525" s="1"/>
      <c r="H525" s="2"/>
    </row>
    <row r="526" spans="6:8">
      <c r="F526" s="1"/>
      <c r="H526" s="2"/>
    </row>
    <row r="527" spans="6:8">
      <c r="F527" s="1"/>
      <c r="H527" s="2"/>
    </row>
    <row r="528" spans="6:8">
      <c r="F528" s="1"/>
      <c r="H528" s="2"/>
    </row>
    <row r="529" spans="6:8">
      <c r="F529" s="1"/>
      <c r="H529" s="2"/>
    </row>
    <row r="530" spans="6:8">
      <c r="F530" s="1"/>
      <c r="H530" s="2"/>
    </row>
    <row r="531" spans="6:8">
      <c r="F531" s="1"/>
    </row>
    <row r="532" spans="6:8">
      <c r="F532" s="1"/>
      <c r="H532" s="2"/>
    </row>
    <row r="533" spans="6:8">
      <c r="F533" s="1"/>
      <c r="H533" s="2"/>
    </row>
    <row r="534" spans="6:8">
      <c r="F534" s="1"/>
      <c r="H534" s="2"/>
    </row>
    <row r="535" spans="6:8">
      <c r="F535" s="1"/>
      <c r="H535" s="2"/>
    </row>
    <row r="536" spans="6:8">
      <c r="F536" s="1"/>
      <c r="H536" s="2"/>
    </row>
    <row r="537" spans="6:8">
      <c r="F537" s="1"/>
      <c r="H537" s="2"/>
    </row>
    <row r="538" spans="6:8">
      <c r="F538" s="1"/>
      <c r="H538" s="2"/>
    </row>
    <row r="539" spans="6:8">
      <c r="F539" s="1"/>
      <c r="H539" s="2"/>
    </row>
    <row r="540" spans="6:8">
      <c r="F540" s="1"/>
      <c r="H540" s="2"/>
    </row>
    <row r="541" spans="6:8">
      <c r="F541" s="1"/>
      <c r="H541" s="2"/>
    </row>
    <row r="542" spans="6:8">
      <c r="F542" s="1"/>
    </row>
    <row r="543" spans="6:8">
      <c r="F543" s="1"/>
      <c r="H543" s="2"/>
    </row>
    <row r="544" spans="6:8">
      <c r="F544" s="1"/>
    </row>
    <row r="545" spans="6:8">
      <c r="F545" s="1"/>
      <c r="H545" s="2"/>
    </row>
    <row r="546" spans="6:8">
      <c r="F546" s="1"/>
      <c r="H546" s="2"/>
    </row>
    <row r="547" spans="6:8">
      <c r="F547" s="1"/>
    </row>
    <row r="548" spans="6:8">
      <c r="F548" s="1"/>
    </row>
    <row r="549" spans="6:8">
      <c r="F549" s="1"/>
    </row>
    <row r="550" spans="6:8">
      <c r="F550" s="1"/>
      <c r="H550" s="2"/>
    </row>
    <row r="551" spans="6:8">
      <c r="F551" s="1"/>
      <c r="H551" s="2"/>
    </row>
    <row r="552" spans="6:8">
      <c r="F552" s="1"/>
      <c r="H552" s="2"/>
    </row>
    <row r="553" spans="6:8">
      <c r="F553" s="1"/>
    </row>
    <row r="554" spans="6:8">
      <c r="F554" s="1"/>
    </row>
    <row r="555" spans="6:8">
      <c r="F555" s="1"/>
    </row>
    <row r="556" spans="6:8">
      <c r="F556" s="1"/>
    </row>
    <row r="557" spans="6:8">
      <c r="F557" s="1"/>
      <c r="H557" s="2"/>
    </row>
    <row r="558" spans="6:8">
      <c r="F558" s="1"/>
      <c r="H558" s="2"/>
    </row>
    <row r="559" spans="6:8">
      <c r="F559" s="1"/>
      <c r="H559" s="2"/>
    </row>
    <row r="560" spans="6:8">
      <c r="F560" s="1"/>
      <c r="H560" s="2"/>
    </row>
    <row r="561" spans="6:8">
      <c r="F561" s="1"/>
    </row>
    <row r="562" spans="6:8">
      <c r="F562" s="1"/>
      <c r="H562" s="2"/>
    </row>
    <row r="563" spans="6:8">
      <c r="F563" s="1"/>
    </row>
    <row r="564" spans="6:8">
      <c r="F564" s="1"/>
    </row>
    <row r="565" spans="6:8">
      <c r="F565" s="1"/>
      <c r="H565" s="2"/>
    </row>
    <row r="566" spans="6:8">
      <c r="F566" s="1"/>
      <c r="H566" s="2"/>
    </row>
    <row r="567" spans="6:8">
      <c r="F567" s="1"/>
      <c r="H567" s="2"/>
    </row>
    <row r="568" spans="6:8">
      <c r="F568" s="1"/>
      <c r="H568" s="2"/>
    </row>
    <row r="569" spans="6:8">
      <c r="F569" s="1"/>
      <c r="H569" s="2"/>
    </row>
    <row r="570" spans="6:8">
      <c r="F570" s="1"/>
      <c r="H570" s="2"/>
    </row>
    <row r="571" spans="6:8">
      <c r="F571" s="1"/>
    </row>
    <row r="572" spans="6:8">
      <c r="F572" s="1"/>
      <c r="H572" s="2"/>
    </row>
    <row r="573" spans="6:8">
      <c r="F573" s="1"/>
      <c r="H573" s="2"/>
    </row>
    <row r="574" spans="6:8">
      <c r="F574" s="1"/>
      <c r="H574" s="2"/>
    </row>
    <row r="575" spans="6:8">
      <c r="F575" s="1"/>
      <c r="H575" s="2"/>
    </row>
    <row r="576" spans="6:8">
      <c r="F576" s="1"/>
      <c r="H576" s="2"/>
    </row>
    <row r="577" spans="6:8">
      <c r="F577" s="1"/>
    </row>
    <row r="578" spans="6:8">
      <c r="F578" s="1"/>
      <c r="H578" s="2"/>
    </row>
    <row r="579" spans="6:8">
      <c r="F579" s="1"/>
      <c r="H579" s="2"/>
    </row>
    <row r="580" spans="6:8">
      <c r="F580" s="1"/>
      <c r="H580" s="2"/>
    </row>
    <row r="581" spans="6:8">
      <c r="F581" s="1"/>
      <c r="H581" s="2"/>
    </row>
    <row r="582" spans="6:8">
      <c r="F582" s="1"/>
      <c r="H582" s="2"/>
    </row>
    <row r="583" spans="6:8">
      <c r="F583" s="1"/>
    </row>
    <row r="584" spans="6:8">
      <c r="F584" s="1"/>
    </row>
    <row r="585" spans="6:8">
      <c r="F585" s="1"/>
    </row>
    <row r="586" spans="6:8">
      <c r="F586" s="1"/>
      <c r="H586" s="2"/>
    </row>
    <row r="587" spans="6:8">
      <c r="F587" s="1"/>
      <c r="H587" s="2"/>
    </row>
    <row r="588" spans="6:8">
      <c r="F588" s="1"/>
    </row>
    <row r="589" spans="6:8">
      <c r="F589" s="1"/>
      <c r="H589" s="2"/>
    </row>
    <row r="590" spans="6:8">
      <c r="F590" s="1"/>
      <c r="H590" s="2"/>
    </row>
    <row r="591" spans="6:8">
      <c r="F591" s="1"/>
      <c r="H591" s="2"/>
    </row>
    <row r="592" spans="6:8">
      <c r="F592" s="1"/>
      <c r="H592" s="2"/>
    </row>
    <row r="593" spans="6:8">
      <c r="F593" s="1"/>
    </row>
    <row r="594" spans="6:8">
      <c r="F594" s="1"/>
    </row>
    <row r="595" spans="6:8">
      <c r="F595" s="1"/>
      <c r="H595" s="2"/>
    </row>
    <row r="596" spans="6:8">
      <c r="F596" s="1"/>
      <c r="H596" s="2"/>
    </row>
    <row r="597" spans="6:8">
      <c r="F597" s="1"/>
      <c r="H597" s="2"/>
    </row>
    <row r="598" spans="6:8">
      <c r="F598" s="1"/>
      <c r="H598" s="2"/>
    </row>
    <row r="599" spans="6:8">
      <c r="F599" s="1"/>
      <c r="H599" s="2"/>
    </row>
    <row r="600" spans="6:8">
      <c r="F600" s="1"/>
      <c r="H600" s="2"/>
    </row>
    <row r="601" spans="6:8">
      <c r="F601" s="1"/>
      <c r="H601" s="2"/>
    </row>
    <row r="602" spans="6:8">
      <c r="F602" s="1"/>
      <c r="H602" s="2"/>
    </row>
    <row r="603" spans="6:8">
      <c r="F603" s="1"/>
      <c r="H603" s="2"/>
    </row>
    <row r="604" spans="6:8">
      <c r="F604" s="1"/>
      <c r="H604" s="2"/>
    </row>
    <row r="605" spans="6:8">
      <c r="F605" s="1"/>
    </row>
    <row r="606" spans="6:8">
      <c r="F606" s="1"/>
      <c r="H606" s="2"/>
    </row>
    <row r="607" spans="6:8">
      <c r="F607" s="1"/>
      <c r="H607" s="2"/>
    </row>
    <row r="608" spans="6:8">
      <c r="F608" s="1"/>
    </row>
    <row r="609" spans="6:8">
      <c r="F609" s="1"/>
      <c r="H609" s="2"/>
    </row>
    <row r="610" spans="6:8">
      <c r="F610" s="1"/>
    </row>
    <row r="611" spans="6:8">
      <c r="F611" s="1"/>
    </row>
    <row r="612" spans="6:8">
      <c r="F612" s="1"/>
      <c r="H612" s="2"/>
    </row>
    <row r="613" spans="6:8">
      <c r="F613" s="1"/>
      <c r="H613" s="2"/>
    </row>
    <row r="614" spans="6:8">
      <c r="F614" s="1"/>
    </row>
    <row r="615" spans="6:8">
      <c r="F615" s="1"/>
      <c r="H615" s="2"/>
    </row>
    <row r="616" spans="6:8">
      <c r="F616" s="1"/>
      <c r="H616" s="2"/>
    </row>
    <row r="617" spans="6:8">
      <c r="F617" s="1"/>
      <c r="H617" s="2"/>
    </row>
    <row r="618" spans="6:8">
      <c r="F618" s="1"/>
      <c r="H618" s="2"/>
    </row>
    <row r="619" spans="6:8">
      <c r="F619" s="1"/>
    </row>
    <row r="620" spans="6:8">
      <c r="F620" s="1"/>
      <c r="H620" s="2"/>
    </row>
    <row r="621" spans="6:8">
      <c r="F621" s="1"/>
      <c r="H621" s="2"/>
    </row>
    <row r="622" spans="6:8">
      <c r="F622" s="1"/>
    </row>
    <row r="623" spans="6:8">
      <c r="F623" s="1"/>
      <c r="H623" s="2"/>
    </row>
    <row r="624" spans="6:8">
      <c r="F624" s="1"/>
      <c r="H624" s="2"/>
    </row>
    <row r="625" spans="6:8">
      <c r="F625" s="1"/>
    </row>
    <row r="626" spans="6:8">
      <c r="F626" s="1"/>
      <c r="H626" s="2"/>
    </row>
    <row r="627" spans="6:8">
      <c r="F627" s="1"/>
      <c r="H627" s="2"/>
    </row>
    <row r="628" spans="6:8">
      <c r="F628" s="1"/>
      <c r="H628" s="2"/>
    </row>
    <row r="629" spans="6:8">
      <c r="F629" s="1"/>
      <c r="H629" s="2"/>
    </row>
    <row r="630" spans="6:8">
      <c r="F630" s="1"/>
      <c r="H630" s="2"/>
    </row>
    <row r="631" spans="6:8">
      <c r="F631" s="1"/>
    </row>
    <row r="632" spans="6:8">
      <c r="F632" s="1"/>
      <c r="H632" s="2"/>
    </row>
    <row r="633" spans="6:8">
      <c r="F633" s="1"/>
      <c r="H633" s="2"/>
    </row>
    <row r="634" spans="6:8">
      <c r="F634" s="1"/>
      <c r="H634" s="2"/>
    </row>
    <row r="635" spans="6:8">
      <c r="F635" s="1"/>
      <c r="H635" s="2"/>
    </row>
    <row r="636" spans="6:8">
      <c r="F636" s="1"/>
      <c r="H636" s="2"/>
    </row>
    <row r="637" spans="6:8">
      <c r="F637" s="1"/>
    </row>
    <row r="638" spans="6:8">
      <c r="F638" s="1"/>
      <c r="H638" s="2"/>
    </row>
    <row r="639" spans="6:8">
      <c r="F639" s="1"/>
      <c r="H639" s="2"/>
    </row>
    <row r="640" spans="6:8">
      <c r="F640" s="1"/>
      <c r="H640" s="2"/>
    </row>
    <row r="641" spans="6:8">
      <c r="F641" s="1"/>
      <c r="H641" s="2"/>
    </row>
    <row r="642" spans="6:8">
      <c r="F642" s="1"/>
    </row>
    <row r="643" spans="6:8">
      <c r="F643" s="1"/>
      <c r="H643" s="2"/>
    </row>
    <row r="644" spans="6:8">
      <c r="F644" s="1"/>
      <c r="H644" s="2"/>
    </row>
    <row r="645" spans="6:8">
      <c r="F645" s="1"/>
      <c r="H645" s="2"/>
    </row>
    <row r="646" spans="6:8">
      <c r="F646" s="1"/>
      <c r="H646" s="2"/>
    </row>
    <row r="647" spans="6:8">
      <c r="F647" s="1"/>
      <c r="H647" s="2"/>
    </row>
    <row r="648" spans="6:8">
      <c r="F648" s="1"/>
      <c r="H648" s="2"/>
    </row>
    <row r="649" spans="6:8">
      <c r="F649" s="1"/>
      <c r="H649" s="2"/>
    </row>
    <row r="650" spans="6:8">
      <c r="F650" s="1"/>
      <c r="H650" s="2"/>
    </row>
    <row r="651" spans="6:8">
      <c r="F651" s="1"/>
      <c r="H651" s="2"/>
    </row>
    <row r="652" spans="6:8">
      <c r="F652" s="1"/>
    </row>
    <row r="653" spans="6:8">
      <c r="F653" s="1"/>
      <c r="H653" s="2"/>
    </row>
    <row r="654" spans="6:8">
      <c r="F654" s="1"/>
      <c r="H654" s="2"/>
    </row>
    <row r="655" spans="6:8">
      <c r="F655" s="1"/>
      <c r="H655" s="2"/>
    </row>
    <row r="656" spans="6:8">
      <c r="F656" s="1"/>
      <c r="H656" s="2"/>
    </row>
    <row r="657" spans="6:8">
      <c r="F657" s="1"/>
      <c r="H657" s="2"/>
    </row>
    <row r="658" spans="6:8">
      <c r="F658" s="1"/>
      <c r="H658" s="2"/>
    </row>
    <row r="659" spans="6:8">
      <c r="F659" s="1"/>
      <c r="H659" s="2"/>
    </row>
    <row r="660" spans="6:8">
      <c r="F660" s="1"/>
      <c r="H660" s="2"/>
    </row>
    <row r="661" spans="6:8">
      <c r="F661" s="1"/>
      <c r="H661" s="2"/>
    </row>
    <row r="662" spans="6:8">
      <c r="F662" s="1"/>
    </row>
    <row r="663" spans="6:8">
      <c r="F663" s="1"/>
      <c r="H663" s="2"/>
    </row>
    <row r="664" spans="6:8">
      <c r="F664" s="1"/>
      <c r="H664" s="2"/>
    </row>
    <row r="665" spans="6:8">
      <c r="F665" s="1"/>
    </row>
    <row r="666" spans="6:8">
      <c r="F666" s="1"/>
      <c r="H666" s="2"/>
    </row>
    <row r="667" spans="6:8">
      <c r="F667" s="1"/>
      <c r="H667" s="2"/>
    </row>
    <row r="668" spans="6:8">
      <c r="F668" s="1"/>
      <c r="H668" s="2"/>
    </row>
    <row r="669" spans="6:8">
      <c r="F669" s="1"/>
      <c r="H669" s="2"/>
    </row>
    <row r="670" spans="6:8">
      <c r="F670" s="1"/>
      <c r="H670" s="2"/>
    </row>
    <row r="671" spans="6:8">
      <c r="F671" s="1"/>
      <c r="H671" s="2"/>
    </row>
    <row r="672" spans="6:8">
      <c r="F672" s="1"/>
      <c r="H672" s="2"/>
    </row>
    <row r="673" spans="6:8">
      <c r="F673" s="1"/>
      <c r="H673" s="2"/>
    </row>
    <row r="674" spans="6:8">
      <c r="F674" s="1"/>
    </row>
    <row r="675" spans="6:8">
      <c r="F675" s="1"/>
      <c r="H675" s="2"/>
    </row>
    <row r="676" spans="6:8">
      <c r="F676" s="1"/>
      <c r="H676" s="2"/>
    </row>
    <row r="677" spans="6:8">
      <c r="F677" s="1"/>
      <c r="H677" s="2"/>
    </row>
    <row r="678" spans="6:8">
      <c r="F678" s="1"/>
      <c r="H678" s="2"/>
    </row>
    <row r="679" spans="6:8">
      <c r="F679" s="1"/>
    </row>
    <row r="680" spans="6:8">
      <c r="F680" s="1"/>
      <c r="H680" s="2"/>
    </row>
    <row r="681" spans="6:8">
      <c r="F681" s="1"/>
    </row>
    <row r="682" spans="6:8">
      <c r="F682" s="1"/>
      <c r="H682" s="2"/>
    </row>
    <row r="683" spans="6:8">
      <c r="F683" s="1"/>
      <c r="H683" s="2"/>
    </row>
    <row r="684" spans="6:8">
      <c r="F684" s="1"/>
      <c r="H684" s="2"/>
    </row>
    <row r="685" spans="6:8">
      <c r="F685" s="1"/>
      <c r="H685" s="2"/>
    </row>
    <row r="686" spans="6:8">
      <c r="F686" s="1"/>
      <c r="H686" s="2"/>
    </row>
    <row r="687" spans="6:8">
      <c r="F687" s="1"/>
      <c r="H687" s="2"/>
    </row>
    <row r="688" spans="6:8">
      <c r="F688" s="1"/>
      <c r="H688" s="2"/>
    </row>
    <row r="689" spans="6:8">
      <c r="F689" s="1"/>
      <c r="H689" s="2"/>
    </row>
    <row r="690" spans="6:8">
      <c r="F690" s="1"/>
      <c r="H690" s="2"/>
    </row>
    <row r="691" spans="6:8">
      <c r="F691" s="1"/>
      <c r="H691" s="2"/>
    </row>
    <row r="692" spans="6:8">
      <c r="F692" s="1"/>
      <c r="H692" s="2"/>
    </row>
    <row r="693" spans="6:8">
      <c r="F693" s="1"/>
      <c r="H693" s="2"/>
    </row>
    <row r="694" spans="6:8">
      <c r="F694" s="1"/>
      <c r="H694" s="2"/>
    </row>
    <row r="695" spans="6:8">
      <c r="F695" s="1"/>
      <c r="H695" s="2"/>
    </row>
    <row r="696" spans="6:8">
      <c r="F696" s="1"/>
      <c r="H696" s="2"/>
    </row>
    <row r="697" spans="6:8">
      <c r="F697" s="1"/>
      <c r="H697" s="2"/>
    </row>
    <row r="698" spans="6:8">
      <c r="F698" s="1"/>
      <c r="H698" s="2"/>
    </row>
    <row r="699" spans="6:8">
      <c r="F699" s="1"/>
      <c r="H699" s="2"/>
    </row>
    <row r="700" spans="6:8">
      <c r="F700" s="1"/>
      <c r="H700" s="2"/>
    </row>
    <row r="701" spans="6:8">
      <c r="F701" s="1"/>
    </row>
    <row r="702" spans="6:8">
      <c r="F702" s="1"/>
      <c r="H702" s="2"/>
    </row>
    <row r="703" spans="6:8">
      <c r="F703" s="1"/>
      <c r="H703" s="2"/>
    </row>
    <row r="704" spans="6:8">
      <c r="F704" s="1"/>
      <c r="H704" s="2"/>
    </row>
    <row r="705" spans="6:8">
      <c r="F705" s="1"/>
      <c r="H705" s="2"/>
    </row>
    <row r="706" spans="6:8">
      <c r="F706" s="1"/>
      <c r="H706" s="2"/>
    </row>
    <row r="707" spans="6:8">
      <c r="F707" s="1"/>
      <c r="H707" s="2"/>
    </row>
    <row r="708" spans="6:8">
      <c r="F708" s="1"/>
    </row>
    <row r="709" spans="6:8">
      <c r="F709" s="1"/>
      <c r="H709" s="2"/>
    </row>
    <row r="710" spans="6:8">
      <c r="F710" s="1"/>
      <c r="H710" s="2"/>
    </row>
    <row r="711" spans="6:8">
      <c r="F711" s="1"/>
      <c r="H711" s="2"/>
    </row>
    <row r="712" spans="6:8">
      <c r="F712" s="1"/>
      <c r="H712" s="2"/>
    </row>
    <row r="713" spans="6:8">
      <c r="F713" s="1"/>
      <c r="H713" s="2"/>
    </row>
    <row r="714" spans="6:8">
      <c r="F714" s="1"/>
    </row>
    <row r="715" spans="6:8">
      <c r="F715" s="1"/>
      <c r="H715" s="2"/>
    </row>
    <row r="716" spans="6:8">
      <c r="F716" s="1"/>
      <c r="H716" s="2"/>
    </row>
    <row r="717" spans="6:8">
      <c r="F717" s="1"/>
      <c r="H717" s="2"/>
    </row>
    <row r="718" spans="6:8">
      <c r="F718" s="1"/>
      <c r="H718" s="2"/>
    </row>
    <row r="719" spans="6:8">
      <c r="F719" s="1"/>
      <c r="H719" s="2"/>
    </row>
    <row r="720" spans="6:8">
      <c r="F720" s="1"/>
      <c r="H720" s="2"/>
    </row>
    <row r="721" spans="6:8">
      <c r="F721" s="1"/>
    </row>
    <row r="722" spans="6:8">
      <c r="F722" s="1"/>
      <c r="H722" s="2"/>
    </row>
    <row r="723" spans="6:8">
      <c r="F723" s="1"/>
      <c r="H723" s="2"/>
    </row>
    <row r="724" spans="6:8">
      <c r="F724" s="1"/>
      <c r="H724" s="2"/>
    </row>
    <row r="725" spans="6:8">
      <c r="F725" s="1"/>
      <c r="H725" s="2"/>
    </row>
    <row r="726" spans="6:8">
      <c r="F726" s="1"/>
    </row>
    <row r="727" spans="6:8">
      <c r="F727" s="1"/>
      <c r="H727" s="2"/>
    </row>
    <row r="728" spans="6:8">
      <c r="F728" s="1"/>
    </row>
    <row r="729" spans="6:8">
      <c r="F729" s="1"/>
    </row>
    <row r="730" spans="6:8">
      <c r="F730" s="1"/>
      <c r="H730" s="2"/>
    </row>
    <row r="731" spans="6:8">
      <c r="F731" s="1"/>
      <c r="H731" s="2"/>
    </row>
    <row r="732" spans="6:8">
      <c r="F732" s="1"/>
      <c r="H732" s="2"/>
    </row>
    <row r="733" spans="6:8">
      <c r="F733" s="1"/>
      <c r="H733" s="2"/>
    </row>
    <row r="734" spans="6:8">
      <c r="F734" s="1"/>
      <c r="H734" s="2"/>
    </row>
    <row r="735" spans="6:8">
      <c r="F735" s="1"/>
      <c r="H735" s="2"/>
    </row>
    <row r="736" spans="6:8">
      <c r="F736" s="1"/>
    </row>
    <row r="737" spans="6:8">
      <c r="F737" s="1"/>
      <c r="H737" s="2"/>
    </row>
    <row r="738" spans="6:8">
      <c r="F738" s="1"/>
      <c r="H738" s="2"/>
    </row>
    <row r="739" spans="6:8">
      <c r="F739" s="1"/>
      <c r="H739" s="2"/>
    </row>
    <row r="740" spans="6:8">
      <c r="F740" s="1"/>
      <c r="H740" s="2"/>
    </row>
    <row r="741" spans="6:8">
      <c r="F741" s="1"/>
    </row>
    <row r="742" spans="6:8">
      <c r="F742" s="1"/>
      <c r="H742" s="2"/>
    </row>
    <row r="743" spans="6:8">
      <c r="F743" s="1"/>
      <c r="H743" s="2"/>
    </row>
    <row r="744" spans="6:8">
      <c r="F744" s="1"/>
      <c r="H744" s="2"/>
    </row>
    <row r="745" spans="6:8">
      <c r="F745" s="1"/>
      <c r="H745" s="2"/>
    </row>
    <row r="746" spans="6:8">
      <c r="F746" s="1"/>
    </row>
    <row r="747" spans="6:8">
      <c r="F747" s="1"/>
      <c r="H747" s="2"/>
    </row>
    <row r="748" spans="6:8">
      <c r="F748" s="1"/>
      <c r="H748" s="2"/>
    </row>
    <row r="749" spans="6:8">
      <c r="F749" s="1"/>
    </row>
    <row r="750" spans="6:8">
      <c r="F750" s="1"/>
      <c r="H750" s="2"/>
    </row>
    <row r="751" spans="6:8">
      <c r="F751" s="1"/>
      <c r="H751" s="2"/>
    </row>
    <row r="752" spans="6:8">
      <c r="F752" s="1"/>
    </row>
    <row r="753" spans="6:8">
      <c r="F753" s="1"/>
      <c r="H753" s="2"/>
    </row>
    <row r="754" spans="6:8">
      <c r="F754" s="1"/>
      <c r="H754" s="2"/>
    </row>
    <row r="755" spans="6:8">
      <c r="F755" s="1"/>
      <c r="H755" s="2"/>
    </row>
    <row r="756" spans="6:8">
      <c r="F756" s="1"/>
    </row>
    <row r="757" spans="6:8">
      <c r="F757" s="1"/>
    </row>
    <row r="758" spans="6:8">
      <c r="F758" s="1"/>
      <c r="H758" s="2"/>
    </row>
    <row r="759" spans="6:8">
      <c r="F759" s="1"/>
      <c r="H759" s="2"/>
    </row>
    <row r="760" spans="6:8">
      <c r="F760" s="1"/>
      <c r="H760" s="2"/>
    </row>
    <row r="761" spans="6:8">
      <c r="F761" s="1"/>
      <c r="H761" s="2"/>
    </row>
    <row r="762" spans="6:8">
      <c r="F762" s="1"/>
    </row>
    <row r="763" spans="6:8">
      <c r="F763" s="1"/>
    </row>
    <row r="764" spans="6:8">
      <c r="F764" s="1"/>
    </row>
    <row r="765" spans="6:8">
      <c r="F765" s="1"/>
      <c r="H765" s="2"/>
    </row>
    <row r="766" spans="6:8">
      <c r="F766" s="1"/>
    </row>
    <row r="767" spans="6:8">
      <c r="F767" s="1"/>
      <c r="H767" s="2"/>
    </row>
    <row r="768" spans="6:8">
      <c r="F768" s="1"/>
    </row>
    <row r="769" spans="6:8">
      <c r="F769" s="1"/>
      <c r="H769" s="2"/>
    </row>
    <row r="770" spans="6:8">
      <c r="F770" s="1"/>
      <c r="H770" s="2"/>
    </row>
    <row r="771" spans="6:8">
      <c r="F771" s="1"/>
      <c r="H771" s="2"/>
    </row>
    <row r="772" spans="6:8">
      <c r="F772" s="1"/>
      <c r="H772" s="2"/>
    </row>
    <row r="773" spans="6:8">
      <c r="F773" s="1"/>
      <c r="H773" s="2"/>
    </row>
    <row r="774" spans="6:8">
      <c r="F774" s="1"/>
      <c r="H774" s="2"/>
    </row>
    <row r="775" spans="6:8">
      <c r="F775" s="1"/>
    </row>
    <row r="776" spans="6:8">
      <c r="F776" s="1"/>
      <c r="H776" s="2"/>
    </row>
    <row r="777" spans="6:8">
      <c r="F777" s="1"/>
      <c r="H777" s="2"/>
    </row>
    <row r="778" spans="6:8">
      <c r="F778" s="1"/>
      <c r="H778" s="2"/>
    </row>
    <row r="779" spans="6:8">
      <c r="F779" s="1"/>
      <c r="H779" s="2"/>
    </row>
    <row r="780" spans="6:8">
      <c r="F780" s="1"/>
      <c r="H780" s="2"/>
    </row>
    <row r="781" spans="6:8">
      <c r="F781" s="1"/>
    </row>
    <row r="782" spans="6:8">
      <c r="F782" s="1"/>
      <c r="H782" s="2"/>
    </row>
    <row r="783" spans="6:8">
      <c r="F783" s="1"/>
      <c r="H783" s="2"/>
    </row>
    <row r="784" spans="6:8">
      <c r="F784" s="1"/>
    </row>
    <row r="785" spans="6:8">
      <c r="F785" s="1"/>
      <c r="H785" s="2"/>
    </row>
    <row r="786" spans="6:8">
      <c r="F786" s="1"/>
    </row>
    <row r="787" spans="6:8">
      <c r="F787" s="1"/>
      <c r="H787" s="2"/>
    </row>
    <row r="788" spans="6:8">
      <c r="F788" s="1"/>
      <c r="H788" s="2"/>
    </row>
    <row r="789" spans="6:8">
      <c r="F789" s="1"/>
    </row>
    <row r="790" spans="6:8">
      <c r="F790" s="1"/>
    </row>
    <row r="791" spans="6:8">
      <c r="F791" s="1"/>
      <c r="H791" s="2"/>
    </row>
    <row r="792" spans="6:8">
      <c r="F792" s="1"/>
      <c r="H792" s="2"/>
    </row>
    <row r="793" spans="6:8">
      <c r="F793" s="1"/>
      <c r="H793" s="2"/>
    </row>
    <row r="794" spans="6:8">
      <c r="F794" s="1"/>
    </row>
    <row r="795" spans="6:8">
      <c r="F795" s="1"/>
      <c r="H795" s="2"/>
    </row>
    <row r="796" spans="6:8">
      <c r="F796" s="1"/>
      <c r="H796" s="2"/>
    </row>
    <row r="797" spans="6:8">
      <c r="F797" s="1"/>
    </row>
    <row r="798" spans="6:8">
      <c r="F798" s="1"/>
      <c r="H798" s="2"/>
    </row>
    <row r="799" spans="6:8">
      <c r="F799" s="1"/>
    </row>
    <row r="800" spans="6:8">
      <c r="F800" s="1"/>
      <c r="H800" s="2"/>
    </row>
    <row r="801" spans="6:8">
      <c r="F801" s="1"/>
    </row>
    <row r="802" spans="6:8">
      <c r="F802" s="1"/>
    </row>
    <row r="803" spans="6:8">
      <c r="F803" s="1"/>
      <c r="H803" s="2"/>
    </row>
    <row r="804" spans="6:8">
      <c r="F804" s="1"/>
      <c r="H804" s="2"/>
    </row>
    <row r="805" spans="6:8">
      <c r="F805" s="1"/>
    </row>
    <row r="806" spans="6:8">
      <c r="F806" s="1"/>
      <c r="H806" s="2"/>
    </row>
    <row r="807" spans="6:8">
      <c r="F807" s="1"/>
      <c r="H807" s="2"/>
    </row>
    <row r="808" spans="6:8">
      <c r="F808" s="1"/>
      <c r="H808" s="2"/>
    </row>
    <row r="809" spans="6:8">
      <c r="F809" s="1"/>
      <c r="H809" s="2"/>
    </row>
    <row r="810" spans="6:8">
      <c r="F810" s="1"/>
      <c r="H810" s="2"/>
    </row>
    <row r="811" spans="6:8">
      <c r="F811" s="1"/>
    </row>
    <row r="812" spans="6:8">
      <c r="F812" s="1"/>
      <c r="H812" s="2"/>
    </row>
    <row r="813" spans="6:8">
      <c r="F813" s="1"/>
    </row>
    <row r="814" spans="6:8">
      <c r="F814" s="1"/>
    </row>
    <row r="815" spans="6:8">
      <c r="F815" s="1"/>
      <c r="H815" s="2"/>
    </row>
    <row r="816" spans="6:8">
      <c r="F816" s="1"/>
      <c r="H816" s="2"/>
    </row>
    <row r="817" spans="6:8">
      <c r="F817" s="1"/>
      <c r="H817" s="2"/>
    </row>
    <row r="818" spans="6:8">
      <c r="F818" s="1"/>
      <c r="H818" s="2"/>
    </row>
    <row r="819" spans="6:8">
      <c r="F819" s="1"/>
    </row>
    <row r="820" spans="6:8">
      <c r="F820" s="1"/>
    </row>
    <row r="821" spans="6:8">
      <c r="F821" s="1"/>
      <c r="H821" s="2"/>
    </row>
    <row r="822" spans="6:8">
      <c r="F822" s="1"/>
    </row>
    <row r="823" spans="6:8">
      <c r="F823" s="1"/>
      <c r="H823" s="2"/>
    </row>
    <row r="824" spans="6:8">
      <c r="F824" s="1"/>
      <c r="H824" s="2"/>
    </row>
    <row r="825" spans="6:8">
      <c r="F825" s="1"/>
      <c r="H825" s="2"/>
    </row>
    <row r="826" spans="6:8">
      <c r="F826" s="1"/>
    </row>
    <row r="827" spans="6:8">
      <c r="F827" s="1"/>
      <c r="H827" s="2"/>
    </row>
    <row r="828" spans="6:8">
      <c r="F828" s="1"/>
      <c r="H828" s="2"/>
    </row>
    <row r="829" spans="6:8">
      <c r="F829" s="1"/>
      <c r="H829" s="2"/>
    </row>
    <row r="830" spans="6:8">
      <c r="F830" s="1"/>
    </row>
    <row r="831" spans="6:8">
      <c r="F831" s="1"/>
      <c r="H831" s="2"/>
    </row>
    <row r="832" spans="6:8">
      <c r="F832" s="1"/>
      <c r="H832" s="2"/>
    </row>
    <row r="833" spans="6:8">
      <c r="F833" s="1"/>
      <c r="H833" s="2"/>
    </row>
    <row r="834" spans="6:8">
      <c r="F834" s="1"/>
      <c r="H834" s="2"/>
    </row>
    <row r="835" spans="6:8">
      <c r="F835" s="1"/>
    </row>
    <row r="836" spans="6:8">
      <c r="F836" s="1"/>
      <c r="H836" s="2"/>
    </row>
    <row r="837" spans="6:8">
      <c r="F837" s="1"/>
      <c r="H837" s="2"/>
    </row>
    <row r="838" spans="6:8">
      <c r="F838" s="1"/>
      <c r="H838" s="2"/>
    </row>
    <row r="839" spans="6:8">
      <c r="F839" s="1"/>
    </row>
    <row r="840" spans="6:8">
      <c r="F840" s="1"/>
      <c r="H840" s="2"/>
    </row>
    <row r="841" spans="6:8">
      <c r="F841" s="1"/>
    </row>
    <row r="842" spans="6:8">
      <c r="F842" s="1"/>
      <c r="H842" s="2"/>
    </row>
    <row r="843" spans="6:8">
      <c r="F843" s="1"/>
    </row>
    <row r="844" spans="6:8">
      <c r="F844" s="1"/>
      <c r="H844" s="2"/>
    </row>
    <row r="845" spans="6:8">
      <c r="F845" s="1"/>
      <c r="H845" s="2"/>
    </row>
    <row r="846" spans="6:8">
      <c r="F846" s="1"/>
      <c r="H846" s="2"/>
    </row>
    <row r="847" spans="6:8">
      <c r="F847" s="1"/>
      <c r="H847" s="2"/>
    </row>
    <row r="848" spans="6:8">
      <c r="F848" s="1"/>
    </row>
    <row r="849" spans="6:8">
      <c r="F849" s="1"/>
    </row>
    <row r="850" spans="6:8">
      <c r="F850" s="1"/>
    </row>
    <row r="851" spans="6:8">
      <c r="F851" s="1"/>
      <c r="H851" s="2"/>
    </row>
    <row r="852" spans="6:8">
      <c r="F852" s="1"/>
      <c r="H852" s="2"/>
    </row>
    <row r="853" spans="6:8">
      <c r="F853" s="1"/>
      <c r="H853" s="2"/>
    </row>
    <row r="854" spans="6:8">
      <c r="F854" s="1"/>
    </row>
    <row r="855" spans="6:8">
      <c r="F855" s="1"/>
      <c r="H855" s="2"/>
    </row>
    <row r="856" spans="6:8">
      <c r="F856" s="1"/>
      <c r="H856" s="2"/>
    </row>
    <row r="857" spans="6:8">
      <c r="F857" s="1"/>
      <c r="H857" s="2"/>
    </row>
    <row r="858" spans="6:8">
      <c r="F858" s="1"/>
      <c r="H858" s="2"/>
    </row>
    <row r="859" spans="6:8">
      <c r="F859" s="1"/>
      <c r="H859" s="2"/>
    </row>
    <row r="860" spans="6:8">
      <c r="F860" s="1"/>
      <c r="H860" s="2"/>
    </row>
    <row r="861" spans="6:8">
      <c r="F861" s="1"/>
      <c r="H861" s="2"/>
    </row>
    <row r="862" spans="6:8">
      <c r="F862" s="1"/>
    </row>
    <row r="863" spans="6:8">
      <c r="F863" s="1"/>
    </row>
    <row r="864" spans="6:8">
      <c r="F864" s="1"/>
      <c r="H864" s="2"/>
    </row>
    <row r="865" spans="6:8">
      <c r="F865" s="1"/>
      <c r="H865" s="2"/>
    </row>
    <row r="866" spans="6:8">
      <c r="F866" s="1"/>
      <c r="H866" s="2"/>
    </row>
    <row r="867" spans="6:8">
      <c r="F867" s="1"/>
      <c r="H867" s="2"/>
    </row>
    <row r="868" spans="6:8">
      <c r="F868" s="1"/>
    </row>
    <row r="869" spans="6:8">
      <c r="F869" s="1"/>
    </row>
    <row r="870" spans="6:8">
      <c r="F870" s="1"/>
      <c r="H870" s="2"/>
    </row>
    <row r="871" spans="6:8">
      <c r="F871" s="1"/>
      <c r="H871" s="2"/>
    </row>
    <row r="872" spans="6:8">
      <c r="F872" s="1"/>
      <c r="H872" s="2"/>
    </row>
    <row r="873" spans="6:8">
      <c r="F873" s="1"/>
      <c r="H873" s="2"/>
    </row>
    <row r="874" spans="6:8">
      <c r="F874" s="1"/>
      <c r="H874" s="2"/>
    </row>
    <row r="875" spans="6:8">
      <c r="F875" s="1"/>
      <c r="H875" s="2"/>
    </row>
    <row r="876" spans="6:8">
      <c r="F876" s="1"/>
      <c r="H876" s="2"/>
    </row>
    <row r="877" spans="6:8">
      <c r="F877" s="1"/>
      <c r="H877" s="2"/>
    </row>
    <row r="878" spans="6:8">
      <c r="F878" s="1"/>
    </row>
    <row r="879" spans="6:8">
      <c r="F879" s="1"/>
      <c r="H879" s="2"/>
    </row>
    <row r="880" spans="6:8">
      <c r="F880" s="1"/>
      <c r="H880" s="2"/>
    </row>
    <row r="881" spans="6:8">
      <c r="F881" s="1"/>
      <c r="H881" s="2"/>
    </row>
    <row r="882" spans="6:8">
      <c r="F882" s="1"/>
    </row>
    <row r="883" spans="6:8">
      <c r="F883" s="1"/>
      <c r="H883" s="2"/>
    </row>
    <row r="884" spans="6:8">
      <c r="F884" s="1"/>
      <c r="H884" s="2"/>
    </row>
    <row r="885" spans="6:8">
      <c r="F885" s="1"/>
    </row>
    <row r="886" spans="6:8">
      <c r="F886" s="1"/>
      <c r="H886" s="2"/>
    </row>
    <row r="887" spans="6:8">
      <c r="F887" s="1"/>
      <c r="H887" s="2"/>
    </row>
    <row r="888" spans="6:8">
      <c r="F888" s="1"/>
      <c r="H888" s="2"/>
    </row>
    <row r="889" spans="6:8">
      <c r="F889" s="1"/>
      <c r="H889" s="2"/>
    </row>
    <row r="890" spans="6:8">
      <c r="F890" s="1"/>
      <c r="H890" s="2"/>
    </row>
    <row r="891" spans="6:8">
      <c r="F891" s="1"/>
      <c r="H891" s="2"/>
    </row>
    <row r="892" spans="6:8">
      <c r="F892" s="1"/>
      <c r="H892" s="2"/>
    </row>
    <row r="893" spans="6:8">
      <c r="F893" s="1"/>
    </row>
    <row r="894" spans="6:8">
      <c r="F894" s="1"/>
      <c r="H894" s="2"/>
    </row>
    <row r="895" spans="6:8">
      <c r="F895" s="1"/>
      <c r="H895" s="2"/>
    </row>
    <row r="896" spans="6:8">
      <c r="F896" s="1"/>
      <c r="H896" s="2"/>
    </row>
    <row r="897" spans="6:8">
      <c r="F897" s="1"/>
      <c r="H897" s="2"/>
    </row>
    <row r="898" spans="6:8">
      <c r="F898" s="1"/>
    </row>
    <row r="899" spans="6:8">
      <c r="F899" s="1"/>
    </row>
    <row r="900" spans="6:8">
      <c r="F900" s="1"/>
      <c r="H900" s="2"/>
    </row>
    <row r="901" spans="6:8">
      <c r="F901" s="1"/>
    </row>
    <row r="902" spans="6:8">
      <c r="F902" s="1"/>
      <c r="H902" s="2"/>
    </row>
    <row r="903" spans="6:8">
      <c r="F903" s="1"/>
      <c r="H903" s="2"/>
    </row>
    <row r="904" spans="6:8">
      <c r="F904" s="1"/>
      <c r="H904" s="2"/>
    </row>
    <row r="905" spans="6:8">
      <c r="F905" s="1"/>
      <c r="H905" s="2"/>
    </row>
    <row r="906" spans="6:8">
      <c r="F906" s="1"/>
      <c r="H906" s="2"/>
    </row>
    <row r="907" spans="6:8">
      <c r="F907" s="1"/>
    </row>
    <row r="908" spans="6:8">
      <c r="F908" s="1"/>
      <c r="H908" s="2"/>
    </row>
    <row r="909" spans="6:8">
      <c r="F909" s="1"/>
      <c r="H909" s="2"/>
    </row>
    <row r="910" spans="6:8">
      <c r="F910" s="1"/>
      <c r="H910" s="2"/>
    </row>
    <row r="911" spans="6:8">
      <c r="F911" s="1"/>
      <c r="H911" s="2"/>
    </row>
    <row r="912" spans="6:8">
      <c r="F912" s="1"/>
      <c r="H912" s="2"/>
    </row>
    <row r="913" spans="6:8">
      <c r="F913" s="1"/>
      <c r="H913" s="2"/>
    </row>
    <row r="914" spans="6:8">
      <c r="F914" s="1"/>
    </row>
    <row r="915" spans="6:8">
      <c r="F915" s="1"/>
      <c r="H915" s="2"/>
    </row>
    <row r="916" spans="6:8">
      <c r="F916" s="1"/>
      <c r="H916" s="2"/>
    </row>
    <row r="917" spans="6:8">
      <c r="F917" s="1"/>
      <c r="H917" s="2"/>
    </row>
    <row r="918" spans="6:8">
      <c r="F918" s="1"/>
      <c r="H918" s="2"/>
    </row>
    <row r="919" spans="6:8">
      <c r="F919" s="1"/>
      <c r="H919" s="2"/>
    </row>
    <row r="920" spans="6:8">
      <c r="F920" s="1"/>
      <c r="H920" s="2"/>
    </row>
    <row r="921" spans="6:8">
      <c r="F921" s="1"/>
    </row>
    <row r="922" spans="6:8">
      <c r="F922" s="1"/>
      <c r="H922" s="2"/>
    </row>
    <row r="923" spans="6:8">
      <c r="F923" s="1"/>
      <c r="H923" s="2"/>
    </row>
    <row r="924" spans="6:8">
      <c r="F924" s="1"/>
      <c r="H924" s="2"/>
    </row>
    <row r="925" spans="6:8">
      <c r="F925" s="1"/>
      <c r="H925" s="2"/>
    </row>
    <row r="926" spans="6:8">
      <c r="F926" s="1"/>
    </row>
    <row r="927" spans="6:8">
      <c r="F927" s="1"/>
      <c r="H927" s="2"/>
    </row>
    <row r="928" spans="6:8">
      <c r="F928" s="1"/>
      <c r="H928" s="2"/>
    </row>
    <row r="929" spans="6:8">
      <c r="F929" s="1"/>
      <c r="H929" s="2"/>
    </row>
    <row r="930" spans="6:8">
      <c r="F930" s="1"/>
    </row>
    <row r="931" spans="6:8">
      <c r="F931" s="1"/>
    </row>
    <row r="932" spans="6:8">
      <c r="F932" s="1"/>
      <c r="H932" s="2"/>
    </row>
    <row r="933" spans="6:8">
      <c r="F933" s="1"/>
      <c r="H933" s="2"/>
    </row>
    <row r="934" spans="6:8">
      <c r="F934" s="1"/>
      <c r="H934" s="2"/>
    </row>
    <row r="935" spans="6:8">
      <c r="F935" s="1"/>
      <c r="H935" s="2"/>
    </row>
    <row r="936" spans="6:8">
      <c r="F936" s="1"/>
      <c r="H936" s="2"/>
    </row>
    <row r="937" spans="6:8">
      <c r="F937" s="1"/>
    </row>
    <row r="938" spans="6:8">
      <c r="F938" s="1"/>
      <c r="H938" s="2"/>
    </row>
    <row r="939" spans="6:8">
      <c r="F939" s="1"/>
      <c r="H939" s="2"/>
    </row>
    <row r="940" spans="6:8">
      <c r="F940" s="1"/>
      <c r="H940" s="2"/>
    </row>
    <row r="941" spans="6:8">
      <c r="F941" s="1"/>
      <c r="H941" s="2"/>
    </row>
    <row r="942" spans="6:8">
      <c r="F942" s="1"/>
      <c r="H942" s="2"/>
    </row>
    <row r="943" spans="6:8">
      <c r="F943" s="1"/>
    </row>
    <row r="944" spans="6:8">
      <c r="F944" s="1"/>
    </row>
    <row r="945" spans="6:8">
      <c r="F945" s="1"/>
      <c r="H945" s="2"/>
    </row>
    <row r="946" spans="6:8">
      <c r="F946" s="1"/>
      <c r="H946" s="2"/>
    </row>
    <row r="947" spans="6:8">
      <c r="F947" s="1"/>
      <c r="H947" s="2"/>
    </row>
    <row r="948" spans="6:8">
      <c r="F948" s="1"/>
      <c r="H948" s="2"/>
    </row>
    <row r="949" spans="6:8">
      <c r="F949" s="1"/>
      <c r="H949" s="2"/>
    </row>
    <row r="950" spans="6:8">
      <c r="F950" s="1"/>
      <c r="H950" s="2"/>
    </row>
    <row r="951" spans="6:8">
      <c r="F951" s="1"/>
      <c r="H951" s="2"/>
    </row>
    <row r="952" spans="6:8">
      <c r="F952" s="1"/>
      <c r="H952" s="2"/>
    </row>
    <row r="953" spans="6:8">
      <c r="F953" s="1"/>
      <c r="H953" s="2"/>
    </row>
    <row r="954" spans="6:8">
      <c r="F954" s="1"/>
      <c r="H954" s="2"/>
    </row>
    <row r="955" spans="6:8">
      <c r="F955" s="1"/>
      <c r="H955" s="2"/>
    </row>
    <row r="956" spans="6:8">
      <c r="F956" s="1"/>
      <c r="H956" s="2"/>
    </row>
    <row r="957" spans="6:8">
      <c r="F957" s="1"/>
      <c r="H957" s="2"/>
    </row>
    <row r="958" spans="6:8">
      <c r="F958" s="1"/>
      <c r="H958" s="2"/>
    </row>
    <row r="959" spans="6:8">
      <c r="F959" s="1"/>
      <c r="H959" s="2"/>
    </row>
    <row r="960" spans="6:8">
      <c r="F960" s="1"/>
      <c r="H960" s="2"/>
    </row>
    <row r="961" spans="6:8">
      <c r="F961" s="1"/>
      <c r="H961" s="2"/>
    </row>
    <row r="962" spans="6:8">
      <c r="F962" s="1"/>
      <c r="H962" s="2"/>
    </row>
    <row r="963" spans="6:8">
      <c r="F963" s="1"/>
      <c r="H963" s="2"/>
    </row>
    <row r="964" spans="6:8">
      <c r="F964" s="1"/>
      <c r="H964" s="2"/>
    </row>
    <row r="965" spans="6:8">
      <c r="F965" s="1"/>
      <c r="H965" s="2"/>
    </row>
    <row r="966" spans="6:8">
      <c r="F966" s="1"/>
      <c r="H966" s="2"/>
    </row>
    <row r="967" spans="6:8">
      <c r="F967" s="1"/>
      <c r="H967" s="2"/>
    </row>
    <row r="968" spans="6:8">
      <c r="F968" s="1"/>
    </row>
    <row r="969" spans="6:8">
      <c r="F969" s="1"/>
      <c r="H969" s="2"/>
    </row>
    <row r="970" spans="6:8">
      <c r="F970" s="1"/>
    </row>
    <row r="971" spans="6:8">
      <c r="F971" s="1"/>
      <c r="H971" s="2"/>
    </row>
    <row r="972" spans="6:8">
      <c r="F972" s="1"/>
      <c r="H972" s="2"/>
    </row>
    <row r="973" spans="6:8">
      <c r="F973" s="1"/>
      <c r="H973" s="2"/>
    </row>
    <row r="974" spans="6:8">
      <c r="F974" s="1"/>
      <c r="H974" s="2"/>
    </row>
    <row r="975" spans="6:8">
      <c r="F975" s="1"/>
      <c r="H975" s="2"/>
    </row>
    <row r="976" spans="6:8">
      <c r="F976" s="1"/>
      <c r="H976" s="2"/>
    </row>
    <row r="977" spans="6:8">
      <c r="F977" s="1"/>
      <c r="H977" s="2"/>
    </row>
    <row r="978" spans="6:8">
      <c r="F978" s="1"/>
    </row>
    <row r="979" spans="6:8">
      <c r="F979" s="1"/>
    </row>
    <row r="980" spans="6:8">
      <c r="F980" s="1"/>
      <c r="H980" s="2"/>
    </row>
    <row r="981" spans="6:8">
      <c r="F981" s="1"/>
      <c r="H981" s="2"/>
    </row>
    <row r="982" spans="6:8">
      <c r="F982" s="1"/>
      <c r="H982" s="2"/>
    </row>
    <row r="983" spans="6:8">
      <c r="F983" s="1"/>
      <c r="H983" s="2"/>
    </row>
    <row r="984" spans="6:8">
      <c r="F984" s="1"/>
    </row>
    <row r="985" spans="6:8">
      <c r="F985" s="1"/>
      <c r="H985" s="2"/>
    </row>
    <row r="986" spans="6:8">
      <c r="F986" s="1"/>
      <c r="H986" s="2"/>
    </row>
    <row r="987" spans="6:8">
      <c r="F987" s="1"/>
      <c r="H987" s="2"/>
    </row>
    <row r="988" spans="6:8">
      <c r="F988" s="1"/>
      <c r="H988" s="2"/>
    </row>
    <row r="989" spans="6:8">
      <c r="F989" s="1"/>
      <c r="H989" s="2"/>
    </row>
    <row r="990" spans="6:8">
      <c r="F990" s="1"/>
      <c r="H990" s="2"/>
    </row>
    <row r="991" spans="6:8">
      <c r="F991" s="1"/>
      <c r="H991" s="2"/>
    </row>
    <row r="992" spans="6:8">
      <c r="F992" s="1"/>
      <c r="H992" s="2"/>
    </row>
    <row r="993" spans="6:8">
      <c r="F993" s="1"/>
      <c r="H993" s="2"/>
    </row>
    <row r="994" spans="6:8">
      <c r="F994" s="1"/>
      <c r="H994" s="2"/>
    </row>
    <row r="995" spans="6:8">
      <c r="F995" s="1"/>
    </row>
    <row r="996" spans="6:8">
      <c r="F996" s="1"/>
      <c r="H996" s="2"/>
    </row>
    <row r="997" spans="6:8">
      <c r="F997" s="1"/>
      <c r="H997" s="2"/>
    </row>
    <row r="998" spans="6:8">
      <c r="F998" s="1"/>
      <c r="H998" s="2"/>
    </row>
    <row r="999" spans="6:8">
      <c r="F999" s="1"/>
    </row>
    <row r="1000" spans="6:8">
      <c r="F1000" s="1"/>
    </row>
    <row r="1001" spans="6:8">
      <c r="F1001" s="1"/>
      <c r="H1001" s="2"/>
    </row>
    <row r="1002" spans="6:8">
      <c r="F1002" s="1"/>
    </row>
    <row r="1003" spans="6:8">
      <c r="F1003" s="1"/>
      <c r="H1003" s="2"/>
    </row>
    <row r="1004" spans="6:8">
      <c r="F1004" s="1"/>
    </row>
    <row r="1005" spans="6:8">
      <c r="F1005" s="1"/>
      <c r="H1005" s="2"/>
    </row>
    <row r="1006" spans="6:8">
      <c r="F1006" s="1"/>
      <c r="H1006" s="2"/>
    </row>
    <row r="1007" spans="6:8">
      <c r="F1007" s="1"/>
    </row>
    <row r="1008" spans="6:8">
      <c r="F1008" s="1"/>
      <c r="H1008" s="2"/>
    </row>
    <row r="1009" spans="6:8">
      <c r="F1009" s="1"/>
      <c r="H1009" s="2"/>
    </row>
    <row r="1010" spans="6:8">
      <c r="F1010" s="1"/>
      <c r="H1010" s="2"/>
    </row>
    <row r="1011" spans="6:8">
      <c r="F1011" s="1"/>
    </row>
    <row r="1012" spans="6:8">
      <c r="F1012" s="1"/>
      <c r="H1012" s="2"/>
    </row>
    <row r="1013" spans="6:8">
      <c r="F1013" s="1"/>
      <c r="H1013" s="2"/>
    </row>
    <row r="1014" spans="6:8">
      <c r="F1014" s="1"/>
      <c r="H1014" s="2"/>
    </row>
    <row r="1015" spans="6:8">
      <c r="F1015" s="1"/>
    </row>
    <row r="1016" spans="6:8">
      <c r="F1016" s="1"/>
      <c r="H1016" s="2"/>
    </row>
    <row r="1017" spans="6:8">
      <c r="F1017" s="1"/>
      <c r="H1017" s="2"/>
    </row>
    <row r="1018" spans="6:8">
      <c r="F1018" s="1"/>
      <c r="H1018" s="2"/>
    </row>
    <row r="1019" spans="6:8">
      <c r="F1019" s="1"/>
      <c r="H1019" s="2"/>
    </row>
    <row r="1020" spans="6:8">
      <c r="F1020" s="1"/>
    </row>
    <row r="1021" spans="6:8">
      <c r="F1021" s="1"/>
      <c r="H1021" s="2"/>
    </row>
    <row r="1022" spans="6:8">
      <c r="F1022" s="1"/>
      <c r="H1022" s="2"/>
    </row>
    <row r="1023" spans="6:8">
      <c r="F1023" s="1"/>
    </row>
    <row r="1024" spans="6:8">
      <c r="F1024" s="1"/>
    </row>
    <row r="1025" spans="6:8">
      <c r="F1025" s="1"/>
      <c r="H1025" s="2"/>
    </row>
    <row r="1026" spans="6:8">
      <c r="F1026" s="1"/>
      <c r="H1026" s="2"/>
    </row>
    <row r="1027" spans="6:8">
      <c r="F1027" s="1"/>
      <c r="H1027" s="2"/>
    </row>
    <row r="1028" spans="6:8">
      <c r="F1028" s="1"/>
    </row>
    <row r="1029" spans="6:8">
      <c r="F1029" s="1"/>
      <c r="H1029" s="2"/>
    </row>
    <row r="1030" spans="6:8">
      <c r="F1030" s="1"/>
      <c r="H1030" s="2"/>
    </row>
    <row r="1031" spans="6:8">
      <c r="F1031" s="1"/>
      <c r="H1031" s="2"/>
    </row>
    <row r="1032" spans="6:8">
      <c r="F1032" s="1"/>
      <c r="H1032" s="2"/>
    </row>
    <row r="1033" spans="6:8">
      <c r="F1033" s="1"/>
    </row>
    <row r="1034" spans="6:8">
      <c r="F1034" s="1"/>
      <c r="H1034" s="2"/>
    </row>
    <row r="1035" spans="6:8">
      <c r="F1035" s="1"/>
      <c r="H1035" s="2"/>
    </row>
    <row r="1036" spans="6:8">
      <c r="F1036" s="1"/>
      <c r="H1036" s="2"/>
    </row>
    <row r="1037" spans="6:8">
      <c r="F1037" s="1"/>
      <c r="H1037" s="2"/>
    </row>
    <row r="1038" spans="6:8">
      <c r="F1038" s="1"/>
      <c r="H1038" s="2"/>
    </row>
    <row r="1039" spans="6:8">
      <c r="F1039" s="1"/>
    </row>
    <row r="1040" spans="6:8">
      <c r="F1040" s="1"/>
    </row>
    <row r="1041" spans="6:8">
      <c r="F1041" s="1"/>
      <c r="H1041" s="2"/>
    </row>
    <row r="1042" spans="6:8">
      <c r="F1042" s="1"/>
      <c r="H1042" s="2"/>
    </row>
    <row r="1043" spans="6:8">
      <c r="F1043" s="1"/>
      <c r="H1043" s="2"/>
    </row>
    <row r="1044" spans="6:8">
      <c r="F1044" s="1"/>
      <c r="H1044" s="2"/>
    </row>
    <row r="1045" spans="6:8">
      <c r="F1045" s="1"/>
      <c r="H1045" s="2"/>
    </row>
    <row r="1046" spans="6:8">
      <c r="F1046" s="1"/>
      <c r="H1046" s="2"/>
    </row>
    <row r="1047" spans="6:8">
      <c r="F1047" s="1"/>
    </row>
    <row r="1048" spans="6:8">
      <c r="F1048" s="1"/>
    </row>
    <row r="1049" spans="6:8">
      <c r="F1049" s="1"/>
      <c r="H1049" s="2"/>
    </row>
    <row r="1050" spans="6:8">
      <c r="F1050" s="1"/>
    </row>
    <row r="1051" spans="6:8">
      <c r="F1051" s="1"/>
      <c r="H1051" s="2"/>
    </row>
    <row r="1052" spans="6:8">
      <c r="F1052" s="1"/>
      <c r="H1052" s="2"/>
    </row>
    <row r="1053" spans="6:8">
      <c r="F1053" s="1"/>
    </row>
    <row r="1054" spans="6:8">
      <c r="F1054" s="1"/>
      <c r="H1054" s="2"/>
    </row>
    <row r="1055" spans="6:8">
      <c r="F1055" s="1"/>
      <c r="H1055" s="2"/>
    </row>
    <row r="1056" spans="6:8">
      <c r="F1056" s="1"/>
      <c r="H1056" s="2"/>
    </row>
    <row r="1057" spans="6:8">
      <c r="F1057" s="1"/>
      <c r="H1057" s="2"/>
    </row>
    <row r="1058" spans="6:8">
      <c r="F1058" s="1"/>
    </row>
    <row r="1059" spans="6:8">
      <c r="F1059" s="1"/>
      <c r="H1059" s="2"/>
    </row>
    <row r="1060" spans="6:8">
      <c r="F1060" s="1"/>
    </row>
    <row r="1061" spans="6:8">
      <c r="F1061" s="1"/>
      <c r="H1061" s="2"/>
    </row>
    <row r="1062" spans="6:8">
      <c r="F1062" s="1"/>
      <c r="H1062" s="2"/>
    </row>
    <row r="1063" spans="6:8">
      <c r="F1063" s="1"/>
      <c r="H1063" s="2"/>
    </row>
    <row r="1064" spans="6:8">
      <c r="F1064" s="1"/>
      <c r="H1064" s="2"/>
    </row>
    <row r="1065" spans="6:8">
      <c r="F1065" s="1"/>
      <c r="H1065" s="2"/>
    </row>
    <row r="1066" spans="6:8">
      <c r="F1066" s="1"/>
      <c r="H1066" s="2"/>
    </row>
    <row r="1067" spans="6:8">
      <c r="F1067" s="1"/>
    </row>
    <row r="1068" spans="6:8">
      <c r="F1068" s="1"/>
      <c r="H1068" s="2"/>
    </row>
    <row r="1069" spans="6:8">
      <c r="F1069" s="1"/>
      <c r="H1069" s="2"/>
    </row>
    <row r="1070" spans="6:8">
      <c r="F1070" s="1"/>
      <c r="H1070" s="2"/>
    </row>
    <row r="1071" spans="6:8">
      <c r="F1071" s="1"/>
      <c r="H1071" s="2"/>
    </row>
    <row r="1072" spans="6:8">
      <c r="F1072" s="1"/>
    </row>
    <row r="1073" spans="6:8">
      <c r="F1073" s="1"/>
      <c r="H1073" s="2"/>
    </row>
    <row r="1074" spans="6:8">
      <c r="F1074" s="1"/>
      <c r="H1074" s="2"/>
    </row>
    <row r="1075" spans="6:8">
      <c r="F1075" s="1"/>
      <c r="H1075" s="2"/>
    </row>
    <row r="1076" spans="6:8">
      <c r="F1076" s="1"/>
    </row>
    <row r="1077" spans="6:8">
      <c r="F1077" s="1"/>
      <c r="H1077" s="2"/>
    </row>
    <row r="1078" spans="6:8">
      <c r="F1078" s="1"/>
      <c r="H1078" s="2"/>
    </row>
    <row r="1079" spans="6:8">
      <c r="F1079" s="1"/>
      <c r="H1079" s="2"/>
    </row>
    <row r="1080" spans="6:8">
      <c r="F1080" s="1"/>
      <c r="H1080" s="2"/>
    </row>
    <row r="1081" spans="6:8">
      <c r="F1081" s="1"/>
      <c r="H1081" s="2"/>
    </row>
    <row r="1082" spans="6:8">
      <c r="F1082" s="1"/>
      <c r="H1082" s="2"/>
    </row>
    <row r="1083" spans="6:8">
      <c r="F1083" s="1"/>
    </row>
    <row r="1084" spans="6:8">
      <c r="F1084" s="1"/>
    </row>
    <row r="1085" spans="6:8">
      <c r="F1085" s="1"/>
      <c r="H1085" s="2"/>
    </row>
    <row r="1086" spans="6:8">
      <c r="F1086" s="1"/>
      <c r="H1086" s="2"/>
    </row>
    <row r="1087" spans="6:8">
      <c r="F1087" s="1"/>
    </row>
    <row r="1088" spans="6:8">
      <c r="F1088" s="1"/>
      <c r="H1088" s="2"/>
    </row>
    <row r="1089" spans="6:8">
      <c r="F1089" s="1"/>
      <c r="H1089" s="2"/>
    </row>
    <row r="1090" spans="6:8">
      <c r="F1090" s="1"/>
      <c r="H1090" s="2"/>
    </row>
    <row r="1091" spans="6:8">
      <c r="F1091" s="1"/>
      <c r="H1091" s="2"/>
    </row>
    <row r="1092" spans="6:8">
      <c r="F1092" s="1"/>
      <c r="H1092" s="2"/>
    </row>
    <row r="1093" spans="6:8">
      <c r="F1093" s="1"/>
    </row>
    <row r="1094" spans="6:8">
      <c r="F1094" s="1"/>
      <c r="H1094" s="2"/>
    </row>
    <row r="1095" spans="6:8">
      <c r="F1095" s="1"/>
    </row>
    <row r="1096" spans="6:8">
      <c r="F1096" s="1"/>
    </row>
    <row r="1097" spans="6:8">
      <c r="F1097" s="1"/>
      <c r="H1097" s="2"/>
    </row>
    <row r="1098" spans="6:8">
      <c r="F1098" s="1"/>
    </row>
    <row r="1099" spans="6:8">
      <c r="F1099" s="1"/>
      <c r="H1099" s="2"/>
    </row>
    <row r="1100" spans="6:8">
      <c r="F1100" s="1"/>
    </row>
    <row r="1101" spans="6:8">
      <c r="F1101" s="1"/>
    </row>
    <row r="1102" spans="6:8">
      <c r="F1102" s="1"/>
      <c r="H1102" s="2"/>
    </row>
    <row r="1103" spans="6:8">
      <c r="F1103" s="1"/>
      <c r="H1103" s="2"/>
    </row>
    <row r="1104" spans="6:8">
      <c r="F1104" s="1"/>
      <c r="H1104" s="2"/>
    </row>
    <row r="1105" spans="6:8">
      <c r="F1105" s="1"/>
      <c r="H1105" s="2"/>
    </row>
    <row r="1106" spans="6:8">
      <c r="F1106" s="1"/>
      <c r="H1106" s="2"/>
    </row>
    <row r="1107" spans="6:8">
      <c r="F1107" s="1"/>
      <c r="H1107" s="2"/>
    </row>
    <row r="1108" spans="6:8">
      <c r="F1108" s="1"/>
      <c r="H1108" s="2"/>
    </row>
    <row r="1109" spans="6:8">
      <c r="F1109" s="1"/>
      <c r="H1109" s="2"/>
    </row>
    <row r="1110" spans="6:8">
      <c r="F1110" s="1"/>
      <c r="H1110" s="2"/>
    </row>
    <row r="1111" spans="6:8">
      <c r="F1111" s="1"/>
      <c r="H1111" s="2"/>
    </row>
    <row r="1112" spans="6:8">
      <c r="F1112" s="1"/>
      <c r="H1112" s="2"/>
    </row>
    <row r="1113" spans="6:8">
      <c r="F1113" s="1"/>
      <c r="H1113" s="2"/>
    </row>
    <row r="1114" spans="6:8">
      <c r="F1114" s="1"/>
      <c r="H1114" s="2"/>
    </row>
    <row r="1115" spans="6:8">
      <c r="F1115" s="1"/>
      <c r="H1115" s="2"/>
    </row>
    <row r="1116" spans="6:8">
      <c r="F1116" s="1"/>
    </row>
    <row r="1117" spans="6:8">
      <c r="F1117" s="1"/>
      <c r="H1117" s="2"/>
    </row>
    <row r="1118" spans="6:8">
      <c r="F1118" s="1"/>
    </row>
    <row r="1119" spans="6:8">
      <c r="F1119" s="1"/>
      <c r="H1119" s="2"/>
    </row>
    <row r="1120" spans="6:8">
      <c r="F1120" s="1"/>
      <c r="H1120" s="2"/>
    </row>
    <row r="1121" spans="6:8">
      <c r="F1121" s="1"/>
      <c r="H1121" s="2"/>
    </row>
    <row r="1122" spans="6:8">
      <c r="F1122" s="1"/>
    </row>
    <row r="1123" spans="6:8">
      <c r="F1123" s="1"/>
      <c r="H1123" s="2"/>
    </row>
    <row r="1124" spans="6:8">
      <c r="F1124" s="1"/>
      <c r="H1124" s="2"/>
    </row>
    <row r="1125" spans="6:8">
      <c r="F1125" s="1"/>
      <c r="H1125" s="2"/>
    </row>
    <row r="1126" spans="6:8">
      <c r="F1126" s="1"/>
      <c r="H1126" s="2"/>
    </row>
    <row r="1127" spans="6:8">
      <c r="F1127" s="1"/>
    </row>
    <row r="1128" spans="6:8">
      <c r="F1128" s="1"/>
      <c r="H1128" s="2"/>
    </row>
    <row r="1129" spans="6:8">
      <c r="F1129" s="1"/>
      <c r="H1129" s="2"/>
    </row>
    <row r="1130" spans="6:8">
      <c r="F1130" s="1"/>
    </row>
    <row r="1131" spans="6:8">
      <c r="F1131" s="1"/>
      <c r="H1131" s="2"/>
    </row>
    <row r="1132" spans="6:8">
      <c r="F1132" s="1"/>
    </row>
    <row r="1133" spans="6:8">
      <c r="F1133" s="1"/>
      <c r="H1133" s="2"/>
    </row>
    <row r="1134" spans="6:8">
      <c r="F1134" s="1"/>
      <c r="H1134" s="2"/>
    </row>
    <row r="1135" spans="6:8">
      <c r="F1135" s="1"/>
      <c r="H1135" s="2"/>
    </row>
    <row r="1136" spans="6:8">
      <c r="F1136" s="1"/>
    </row>
    <row r="1137" spans="6:8">
      <c r="F1137" s="1"/>
      <c r="H1137" s="2"/>
    </row>
    <row r="1138" spans="6:8">
      <c r="F1138" s="1"/>
      <c r="H1138" s="2"/>
    </row>
    <row r="1139" spans="6:8">
      <c r="F1139" s="1"/>
      <c r="H1139" s="2"/>
    </row>
    <row r="1140" spans="6:8">
      <c r="F1140" s="1"/>
      <c r="H1140" s="2"/>
    </row>
    <row r="1141" spans="6:8">
      <c r="F1141" s="1"/>
    </row>
    <row r="1142" spans="6:8">
      <c r="F1142" s="1"/>
      <c r="H1142" s="2"/>
    </row>
    <row r="1143" spans="6:8">
      <c r="F1143" s="1"/>
      <c r="H1143" s="2"/>
    </row>
    <row r="1144" spans="6:8">
      <c r="F1144" s="1"/>
      <c r="H1144" s="2"/>
    </row>
    <row r="1145" spans="6:8">
      <c r="F1145" s="1"/>
      <c r="H1145" s="2"/>
    </row>
    <row r="1146" spans="6:8">
      <c r="F1146" s="1"/>
      <c r="H1146" s="2"/>
    </row>
    <row r="1147" spans="6:8">
      <c r="F1147" s="1"/>
      <c r="H1147" s="2"/>
    </row>
    <row r="1148" spans="6:8">
      <c r="F1148" s="1"/>
      <c r="H1148" s="2"/>
    </row>
    <row r="1149" spans="6:8">
      <c r="F1149" s="1"/>
    </row>
    <row r="1150" spans="6:8">
      <c r="F1150" s="1"/>
      <c r="H1150" s="2"/>
    </row>
    <row r="1151" spans="6:8">
      <c r="F1151" s="1"/>
      <c r="H1151" s="2"/>
    </row>
    <row r="1152" spans="6:8">
      <c r="F1152" s="1"/>
      <c r="H1152" s="2"/>
    </row>
    <row r="1153" spans="6:8">
      <c r="F1153" s="1"/>
      <c r="H1153" s="2"/>
    </row>
    <row r="1154" spans="6:8">
      <c r="F1154" s="1"/>
      <c r="H1154" s="2"/>
    </row>
    <row r="1155" spans="6:8">
      <c r="F1155" s="1"/>
    </row>
    <row r="1156" spans="6:8">
      <c r="F1156" s="1"/>
    </row>
    <row r="1157" spans="6:8">
      <c r="F1157" s="1"/>
    </row>
    <row r="1158" spans="6:8">
      <c r="F1158" s="1"/>
      <c r="H1158" s="2"/>
    </row>
    <row r="1159" spans="6:8">
      <c r="F1159" s="1"/>
      <c r="H1159" s="2"/>
    </row>
    <row r="1160" spans="6:8">
      <c r="F1160" s="1"/>
      <c r="H1160" s="2"/>
    </row>
    <row r="1161" spans="6:8">
      <c r="F1161" s="1"/>
      <c r="H1161" s="2"/>
    </row>
    <row r="1162" spans="6:8">
      <c r="F1162" s="1"/>
    </row>
    <row r="1163" spans="6:8">
      <c r="F1163" s="1"/>
      <c r="H1163" s="2"/>
    </row>
    <row r="1164" spans="6:8">
      <c r="F1164" s="1"/>
      <c r="H1164" s="2"/>
    </row>
    <row r="1165" spans="6:8">
      <c r="F1165" s="1"/>
      <c r="H1165" s="2"/>
    </row>
    <row r="1166" spans="6:8">
      <c r="F1166" s="1"/>
      <c r="H1166" s="2"/>
    </row>
    <row r="1167" spans="6:8">
      <c r="F1167" s="1"/>
      <c r="H1167" s="2"/>
    </row>
    <row r="1168" spans="6:8">
      <c r="F1168" s="1"/>
    </row>
    <row r="1169" spans="6:8">
      <c r="F1169" s="1"/>
      <c r="H1169" s="2"/>
    </row>
    <row r="1170" spans="6:8">
      <c r="F1170" s="1"/>
      <c r="H1170" s="2"/>
    </row>
    <row r="1171" spans="6:8">
      <c r="F1171" s="1"/>
      <c r="H1171" s="2"/>
    </row>
    <row r="1172" spans="6:8">
      <c r="F1172" s="1"/>
      <c r="H1172" s="2"/>
    </row>
    <row r="1173" spans="6:8">
      <c r="F1173" s="1"/>
    </row>
    <row r="1174" spans="6:8">
      <c r="F1174" s="1"/>
    </row>
    <row r="1175" spans="6:8">
      <c r="F1175" s="1"/>
    </row>
    <row r="1176" spans="6:8">
      <c r="F1176" s="1"/>
      <c r="H1176" s="2"/>
    </row>
    <row r="1177" spans="6:8">
      <c r="F1177" s="1"/>
      <c r="H1177" s="2"/>
    </row>
    <row r="1178" spans="6:8">
      <c r="F1178" s="1"/>
    </row>
    <row r="1179" spans="6:8">
      <c r="F1179" s="1"/>
      <c r="H1179" s="2"/>
    </row>
    <row r="1180" spans="6:8">
      <c r="F1180" s="1"/>
      <c r="H1180" s="2"/>
    </row>
    <row r="1181" spans="6:8">
      <c r="F1181" s="1"/>
      <c r="H1181" s="2"/>
    </row>
    <row r="1182" spans="6:8">
      <c r="F1182" s="1"/>
      <c r="H1182" s="2"/>
    </row>
    <row r="1183" spans="6:8">
      <c r="F1183" s="1"/>
      <c r="H1183" s="2"/>
    </row>
    <row r="1184" spans="6:8">
      <c r="F1184" s="1"/>
      <c r="H1184" s="2"/>
    </row>
    <row r="1185" spans="6:8">
      <c r="F1185" s="1"/>
      <c r="H1185" s="2"/>
    </row>
    <row r="1186" spans="6:8">
      <c r="F1186" s="1"/>
      <c r="H1186" s="2"/>
    </row>
    <row r="1187" spans="6:8">
      <c r="F1187" s="1"/>
      <c r="H1187" s="2"/>
    </row>
    <row r="1188" spans="6:8">
      <c r="F1188" s="1"/>
    </row>
    <row r="1189" spans="6:8">
      <c r="F1189" s="1"/>
    </row>
    <row r="1190" spans="6:8">
      <c r="F1190" s="1"/>
      <c r="H1190" s="2"/>
    </row>
    <row r="1191" spans="6:8">
      <c r="F1191" s="1"/>
      <c r="H1191" s="2"/>
    </row>
    <row r="1192" spans="6:8">
      <c r="F1192" s="1"/>
      <c r="H1192" s="2"/>
    </row>
    <row r="1193" spans="6:8">
      <c r="F1193" s="1"/>
      <c r="H1193" s="2"/>
    </row>
    <row r="1194" spans="6:8">
      <c r="F1194" s="1"/>
      <c r="H1194" s="2"/>
    </row>
    <row r="1195" spans="6:8">
      <c r="F1195" s="1"/>
      <c r="H1195" s="2"/>
    </row>
    <row r="1196" spans="6:8">
      <c r="F1196" s="1"/>
      <c r="H1196" s="2"/>
    </row>
    <row r="1197" spans="6:8">
      <c r="F1197" s="1"/>
    </row>
    <row r="1198" spans="6:8">
      <c r="F1198" s="1"/>
      <c r="H1198" s="2"/>
    </row>
    <row r="1199" spans="6:8">
      <c r="F1199" s="1"/>
      <c r="H1199" s="2"/>
    </row>
    <row r="1200" spans="6:8">
      <c r="F1200" s="1"/>
      <c r="H1200" s="2"/>
    </row>
    <row r="1201" spans="6:8">
      <c r="F1201" s="1"/>
      <c r="H1201" s="2"/>
    </row>
    <row r="1202" spans="6:8">
      <c r="F1202" s="1"/>
      <c r="H1202" s="2"/>
    </row>
    <row r="1203" spans="6:8">
      <c r="F1203" s="1"/>
      <c r="H1203" s="2"/>
    </row>
    <row r="1204" spans="6:8">
      <c r="F1204" s="1"/>
      <c r="H1204" s="2"/>
    </row>
    <row r="1205" spans="6:8">
      <c r="F1205" s="1"/>
      <c r="H1205" s="2"/>
    </row>
    <row r="1206" spans="6:8">
      <c r="F1206" s="1"/>
      <c r="H1206" s="2"/>
    </row>
    <row r="1207" spans="6:8">
      <c r="F1207" s="1"/>
      <c r="H1207" s="2"/>
    </row>
    <row r="1208" spans="6:8">
      <c r="F1208" s="1"/>
      <c r="H1208" s="2"/>
    </row>
    <row r="1209" spans="6:8">
      <c r="F1209" s="1"/>
      <c r="H1209" s="2"/>
    </row>
    <row r="1210" spans="6:8">
      <c r="F1210" s="1"/>
    </row>
    <row r="1211" spans="6:8">
      <c r="F1211" s="1"/>
      <c r="H1211" s="2"/>
    </row>
    <row r="1212" spans="6:8">
      <c r="F1212" s="1"/>
    </row>
    <row r="1213" spans="6:8">
      <c r="F1213" s="1"/>
      <c r="H1213" s="2"/>
    </row>
    <row r="1214" spans="6:8">
      <c r="F1214" s="1"/>
    </row>
    <row r="1215" spans="6:8">
      <c r="F1215" s="1"/>
    </row>
    <row r="1216" spans="6:8">
      <c r="F1216" s="1"/>
      <c r="H1216" s="2"/>
    </row>
    <row r="1217" spans="6:8">
      <c r="F1217" s="1"/>
      <c r="H1217" s="2"/>
    </row>
    <row r="1218" spans="6:8">
      <c r="F1218" s="1"/>
      <c r="H1218" s="2"/>
    </row>
    <row r="1219" spans="6:8">
      <c r="F1219" s="1"/>
      <c r="H1219" s="2"/>
    </row>
    <row r="1220" spans="6:8">
      <c r="F1220" s="1"/>
      <c r="H1220" s="2"/>
    </row>
    <row r="1221" spans="6:8">
      <c r="F1221" s="1"/>
    </row>
    <row r="1222" spans="6:8">
      <c r="F1222" s="1"/>
      <c r="H1222" s="2"/>
    </row>
    <row r="1223" spans="6:8">
      <c r="F1223" s="1"/>
      <c r="H1223" s="2"/>
    </row>
    <row r="1224" spans="6:8">
      <c r="F1224" s="1"/>
    </row>
    <row r="1225" spans="6:8">
      <c r="F1225" s="1"/>
      <c r="H1225" s="2"/>
    </row>
    <row r="1226" spans="6:8">
      <c r="F1226" s="1"/>
    </row>
    <row r="1227" spans="6:8">
      <c r="F1227" s="1"/>
      <c r="H1227" s="2"/>
    </row>
    <row r="1228" spans="6:8">
      <c r="F1228" s="1"/>
      <c r="H1228" s="2"/>
    </row>
    <row r="1229" spans="6:8">
      <c r="F1229" s="1"/>
      <c r="H1229" s="2"/>
    </row>
    <row r="1230" spans="6:8">
      <c r="F1230" s="1"/>
      <c r="H1230" s="2"/>
    </row>
    <row r="1231" spans="6:8">
      <c r="F1231" s="1"/>
      <c r="H1231" s="2"/>
    </row>
    <row r="1232" spans="6:8">
      <c r="F1232" s="1"/>
      <c r="H1232" s="2"/>
    </row>
    <row r="1233" spans="6:8">
      <c r="F1233" s="1"/>
    </row>
    <row r="1234" spans="6:8">
      <c r="F1234" s="1"/>
    </row>
    <row r="1235" spans="6:8">
      <c r="F1235" s="1"/>
      <c r="H1235" s="2"/>
    </row>
    <row r="1236" spans="6:8">
      <c r="F1236" s="1"/>
      <c r="H1236" s="2"/>
    </row>
    <row r="1237" spans="6:8">
      <c r="F1237" s="1"/>
      <c r="H1237" s="2"/>
    </row>
    <row r="1238" spans="6:8">
      <c r="F1238" s="1"/>
      <c r="H1238" s="2"/>
    </row>
    <row r="1239" spans="6:8">
      <c r="F1239" s="1"/>
      <c r="H1239" s="2"/>
    </row>
    <row r="1240" spans="6:8">
      <c r="F1240" s="1"/>
      <c r="H1240" s="2"/>
    </row>
    <row r="1241" spans="6:8">
      <c r="F1241" s="1"/>
    </row>
    <row r="1242" spans="6:8">
      <c r="F1242" s="1"/>
      <c r="H1242" s="2"/>
    </row>
    <row r="1243" spans="6:8">
      <c r="F1243" s="1"/>
      <c r="H1243" s="2"/>
    </row>
    <row r="1244" spans="6:8">
      <c r="F1244" s="1"/>
      <c r="H1244" s="2"/>
    </row>
    <row r="1245" spans="6:8">
      <c r="F1245" s="1"/>
    </row>
    <row r="1246" spans="6:8">
      <c r="F1246" s="1"/>
      <c r="H1246" s="2"/>
    </row>
    <row r="1247" spans="6:8">
      <c r="F1247" s="1"/>
      <c r="H1247" s="2"/>
    </row>
    <row r="1248" spans="6:8">
      <c r="F1248" s="1"/>
      <c r="H1248" s="2"/>
    </row>
    <row r="1249" spans="6:8">
      <c r="F1249" s="1"/>
    </row>
    <row r="1250" spans="6:8">
      <c r="F1250" s="1"/>
      <c r="H1250" s="2"/>
    </row>
    <row r="1251" spans="6:8">
      <c r="F1251" s="1"/>
      <c r="H1251" s="2"/>
    </row>
    <row r="1252" spans="6:8">
      <c r="F1252" s="1"/>
    </row>
    <row r="1253" spans="6:8">
      <c r="F1253" s="1"/>
      <c r="H1253" s="2"/>
    </row>
    <row r="1254" spans="6:8">
      <c r="F1254" s="1"/>
      <c r="H1254" s="2"/>
    </row>
    <row r="1255" spans="6:8">
      <c r="F1255" s="1"/>
      <c r="H1255" s="2"/>
    </row>
    <row r="1256" spans="6:8">
      <c r="F1256" s="1"/>
    </row>
    <row r="1257" spans="6:8">
      <c r="F1257" s="1"/>
      <c r="H1257" s="2"/>
    </row>
    <row r="1258" spans="6:8">
      <c r="F1258" s="1"/>
      <c r="H1258" s="2"/>
    </row>
    <row r="1259" spans="6:8">
      <c r="F1259" s="1"/>
    </row>
    <row r="1260" spans="6:8">
      <c r="F1260" s="1"/>
      <c r="H1260" s="2"/>
    </row>
    <row r="1261" spans="6:8">
      <c r="F1261" s="1"/>
      <c r="H1261" s="2"/>
    </row>
    <row r="1262" spans="6:8">
      <c r="F1262" s="1"/>
      <c r="H1262" s="2"/>
    </row>
    <row r="1263" spans="6:8">
      <c r="F1263" s="1"/>
      <c r="H1263" s="2"/>
    </row>
    <row r="1264" spans="6:8">
      <c r="F1264" s="1"/>
      <c r="H1264" s="2"/>
    </row>
    <row r="1265" spans="6:8">
      <c r="F1265" s="1"/>
    </row>
    <row r="1266" spans="6:8">
      <c r="F1266" s="1"/>
      <c r="H1266" s="2"/>
    </row>
    <row r="1267" spans="6:8">
      <c r="F1267" s="1"/>
      <c r="H1267" s="2"/>
    </row>
    <row r="1268" spans="6:8">
      <c r="F1268" s="1"/>
      <c r="H1268" s="2"/>
    </row>
    <row r="1269" spans="6:8">
      <c r="F1269" s="1"/>
      <c r="H1269" s="2"/>
    </row>
    <row r="1270" spans="6:8">
      <c r="F1270" s="1"/>
      <c r="H1270" s="2"/>
    </row>
    <row r="1271" spans="6:8">
      <c r="F1271" s="1"/>
      <c r="H1271" s="2"/>
    </row>
    <row r="1272" spans="6:8">
      <c r="F1272" s="1"/>
      <c r="H1272" s="2"/>
    </row>
    <row r="1273" spans="6:8">
      <c r="F1273" s="1"/>
      <c r="H1273" s="2"/>
    </row>
    <row r="1274" spans="6:8">
      <c r="F1274" s="1"/>
      <c r="H1274" s="2"/>
    </row>
    <row r="1275" spans="6:8">
      <c r="F1275" s="1"/>
      <c r="H1275" s="2"/>
    </row>
    <row r="1276" spans="6:8">
      <c r="F1276" s="1"/>
      <c r="H1276" s="2"/>
    </row>
    <row r="1277" spans="6:8">
      <c r="F1277" s="1"/>
    </row>
    <row r="1278" spans="6:8">
      <c r="F1278" s="1"/>
      <c r="H1278" s="2"/>
    </row>
    <row r="1279" spans="6:8">
      <c r="F1279" s="1"/>
      <c r="H1279" s="2"/>
    </row>
    <row r="1280" spans="6:8">
      <c r="F1280" s="1"/>
    </row>
    <row r="1281" spans="6:8">
      <c r="F1281" s="1"/>
    </row>
    <row r="1282" spans="6:8">
      <c r="F1282" s="1"/>
      <c r="H1282" s="2"/>
    </row>
    <row r="1283" spans="6:8">
      <c r="F1283" s="1"/>
      <c r="H1283" s="2"/>
    </row>
    <row r="1284" spans="6:8">
      <c r="F1284" s="1"/>
      <c r="H1284" s="2"/>
    </row>
    <row r="1285" spans="6:8">
      <c r="F1285" s="1"/>
      <c r="H1285" s="2"/>
    </row>
    <row r="1286" spans="6:8">
      <c r="F1286" s="1"/>
      <c r="H1286" s="2"/>
    </row>
    <row r="1287" spans="6:8">
      <c r="F1287" s="1"/>
      <c r="H1287" s="2"/>
    </row>
    <row r="1288" spans="6:8">
      <c r="F1288" s="1"/>
    </row>
    <row r="1289" spans="6:8">
      <c r="F1289" s="1"/>
      <c r="H1289" s="2"/>
    </row>
    <row r="1290" spans="6:8">
      <c r="F1290" s="1"/>
      <c r="H1290" s="2"/>
    </row>
    <row r="1291" spans="6:8">
      <c r="F1291" s="1"/>
      <c r="H1291" s="2"/>
    </row>
    <row r="1292" spans="6:8">
      <c r="F1292" s="1"/>
    </row>
    <row r="1293" spans="6:8">
      <c r="F1293" s="1"/>
    </row>
    <row r="1294" spans="6:8">
      <c r="F1294" s="1"/>
    </row>
    <row r="1295" spans="6:8">
      <c r="F1295" s="1"/>
      <c r="H1295" s="2"/>
    </row>
    <row r="1296" spans="6:8">
      <c r="F1296" s="1"/>
    </row>
    <row r="1297" spans="6:8">
      <c r="F1297" s="1"/>
      <c r="H1297" s="2"/>
    </row>
    <row r="1298" spans="6:8">
      <c r="F1298" s="1"/>
      <c r="H1298" s="2"/>
    </row>
    <row r="1299" spans="6:8">
      <c r="F1299" s="1"/>
      <c r="H1299" s="2"/>
    </row>
    <row r="1300" spans="6:8">
      <c r="F1300" s="1"/>
      <c r="H1300" s="2"/>
    </row>
    <row r="1301" spans="6:8">
      <c r="F1301" s="1"/>
    </row>
    <row r="1302" spans="6:8">
      <c r="F1302" s="1"/>
      <c r="H1302" s="2"/>
    </row>
    <row r="1303" spans="6:8">
      <c r="F1303" s="1"/>
      <c r="H1303" s="2"/>
    </row>
    <row r="1304" spans="6:8">
      <c r="F1304" s="1"/>
      <c r="H1304" s="2"/>
    </row>
    <row r="1305" spans="6:8">
      <c r="F1305" s="1"/>
      <c r="H1305" s="2"/>
    </row>
    <row r="1306" spans="6:8">
      <c r="F1306" s="1"/>
      <c r="H1306" s="2"/>
    </row>
    <row r="1307" spans="6:8">
      <c r="F1307" s="1"/>
      <c r="H1307" s="2"/>
    </row>
    <row r="1308" spans="6:8">
      <c r="F1308" s="1"/>
      <c r="H1308" s="2"/>
    </row>
    <row r="1309" spans="6:8">
      <c r="F1309" s="1"/>
    </row>
    <row r="1310" spans="6:8">
      <c r="F1310" s="1"/>
      <c r="H1310" s="2"/>
    </row>
    <row r="1311" spans="6:8">
      <c r="F1311" s="1"/>
    </row>
    <row r="1312" spans="6:8">
      <c r="F1312" s="1"/>
      <c r="H1312" s="2"/>
    </row>
    <row r="1313" spans="6:8">
      <c r="F1313" s="1"/>
      <c r="H1313" s="2"/>
    </row>
    <row r="1314" spans="6:8">
      <c r="F1314" s="1"/>
      <c r="H1314" s="2"/>
    </row>
    <row r="1315" spans="6:8">
      <c r="F1315" s="1"/>
    </row>
    <row r="1316" spans="6:8">
      <c r="F1316" s="1"/>
      <c r="H1316" s="2"/>
    </row>
    <row r="1317" spans="6:8">
      <c r="F1317" s="1"/>
      <c r="H1317" s="2"/>
    </row>
    <row r="1318" spans="6:8">
      <c r="F1318" s="1"/>
      <c r="H1318" s="2"/>
    </row>
    <row r="1319" spans="6:8">
      <c r="F1319" s="1"/>
    </row>
    <row r="1320" spans="6:8">
      <c r="F1320" s="1"/>
      <c r="H1320" s="2"/>
    </row>
    <row r="1321" spans="6:8">
      <c r="F1321" s="1"/>
    </row>
    <row r="1322" spans="6:8">
      <c r="F1322" s="1"/>
    </row>
    <row r="1323" spans="6:8">
      <c r="F1323" s="1"/>
    </row>
    <row r="1324" spans="6:8">
      <c r="F1324" s="1"/>
      <c r="H1324" s="2"/>
    </row>
    <row r="1325" spans="6:8">
      <c r="F1325" s="1"/>
      <c r="H1325" s="2"/>
    </row>
    <row r="1326" spans="6:8">
      <c r="F1326" s="1"/>
      <c r="H1326" s="2"/>
    </row>
    <row r="1327" spans="6:8">
      <c r="F1327" s="1"/>
      <c r="H1327" s="2"/>
    </row>
    <row r="1328" spans="6:8">
      <c r="F1328" s="1"/>
    </row>
    <row r="1329" spans="6:8">
      <c r="F1329" s="1"/>
      <c r="H1329" s="2"/>
    </row>
    <row r="1330" spans="6:8">
      <c r="F1330" s="1"/>
      <c r="H1330" s="2"/>
    </row>
    <row r="1331" spans="6:8">
      <c r="F1331" s="1"/>
      <c r="H1331" s="2"/>
    </row>
    <row r="1332" spans="6:8">
      <c r="F1332" s="1"/>
      <c r="H1332" s="2"/>
    </row>
    <row r="1333" spans="6:8">
      <c r="F1333" s="1"/>
      <c r="H1333" s="2"/>
    </row>
    <row r="1334" spans="6:8">
      <c r="F1334" s="1"/>
      <c r="H1334" s="2"/>
    </row>
    <row r="1335" spans="6:8">
      <c r="F1335" s="1"/>
      <c r="H1335" s="2"/>
    </row>
    <row r="1336" spans="6:8">
      <c r="F1336" s="1"/>
      <c r="H1336" s="2"/>
    </row>
    <row r="1337" spans="6:8">
      <c r="F1337" s="1"/>
      <c r="H1337" s="2"/>
    </row>
    <row r="1338" spans="6:8">
      <c r="F1338" s="1"/>
      <c r="H1338" s="2"/>
    </row>
    <row r="1339" spans="6:8">
      <c r="F1339" s="1"/>
      <c r="H1339" s="2"/>
    </row>
    <row r="1340" spans="6:8">
      <c r="F1340" s="1"/>
      <c r="H1340" s="2"/>
    </row>
    <row r="1341" spans="6:8">
      <c r="F1341" s="1"/>
      <c r="H1341" s="2"/>
    </row>
    <row r="1342" spans="6:8">
      <c r="F1342" s="1"/>
    </row>
    <row r="1343" spans="6:8">
      <c r="F1343" s="1"/>
    </row>
    <row r="1344" spans="6:8">
      <c r="F1344" s="1"/>
      <c r="H1344" s="2"/>
    </row>
    <row r="1345" spans="6:8">
      <c r="F1345" s="1"/>
      <c r="H1345" s="2"/>
    </row>
    <row r="1346" spans="6:8">
      <c r="F1346" s="1"/>
      <c r="H1346" s="2"/>
    </row>
    <row r="1347" spans="6:8">
      <c r="F1347" s="1"/>
    </row>
    <row r="1348" spans="6:8">
      <c r="F1348" s="1"/>
    </row>
    <row r="1349" spans="6:8">
      <c r="F1349" s="1"/>
    </row>
    <row r="1350" spans="6:8">
      <c r="F1350" s="1"/>
      <c r="H1350" s="2"/>
    </row>
    <row r="1351" spans="6:8">
      <c r="F1351" s="1"/>
    </row>
    <row r="1352" spans="6:8">
      <c r="F1352" s="1"/>
      <c r="H1352" s="2"/>
    </row>
    <row r="1353" spans="6:8">
      <c r="F1353" s="1"/>
      <c r="H1353" s="2"/>
    </row>
    <row r="1354" spans="6:8">
      <c r="F1354" s="1"/>
      <c r="H1354" s="2"/>
    </row>
    <row r="1355" spans="6:8">
      <c r="F1355" s="1"/>
      <c r="H1355" s="2"/>
    </row>
    <row r="1356" spans="6:8">
      <c r="F1356" s="1"/>
      <c r="H1356" s="2"/>
    </row>
    <row r="1357" spans="6:8">
      <c r="F1357" s="1"/>
      <c r="H1357" s="2"/>
    </row>
    <row r="1358" spans="6:8">
      <c r="F1358" s="1"/>
      <c r="H1358" s="2"/>
    </row>
    <row r="1359" spans="6:8">
      <c r="F1359" s="1"/>
    </row>
    <row r="1360" spans="6:8">
      <c r="F1360" s="1"/>
      <c r="H1360" s="2"/>
    </row>
    <row r="1361" spans="6:8">
      <c r="F1361" s="1"/>
      <c r="H1361" s="2"/>
    </row>
    <row r="1362" spans="6:8">
      <c r="F1362" s="1"/>
      <c r="H1362" s="2"/>
    </row>
    <row r="1363" spans="6:8">
      <c r="F1363" s="1"/>
      <c r="H1363" s="2"/>
    </row>
    <row r="1364" spans="6:8">
      <c r="F1364" s="1"/>
      <c r="H1364" s="2"/>
    </row>
    <row r="1365" spans="6:8">
      <c r="F1365" s="1"/>
      <c r="H1365" s="2"/>
    </row>
    <row r="1366" spans="6:8">
      <c r="F1366" s="1"/>
      <c r="H1366" s="2"/>
    </row>
    <row r="1367" spans="6:8">
      <c r="F1367" s="1"/>
      <c r="H1367" s="2"/>
    </row>
    <row r="1368" spans="6:8">
      <c r="F1368" s="1"/>
    </row>
    <row r="1369" spans="6:8">
      <c r="F1369" s="1"/>
      <c r="H1369" s="2"/>
    </row>
    <row r="1370" spans="6:8">
      <c r="F1370" s="1"/>
    </row>
    <row r="1371" spans="6:8">
      <c r="F1371" s="1"/>
    </row>
    <row r="1372" spans="6:8">
      <c r="F1372" s="1"/>
      <c r="H1372" s="2"/>
    </row>
    <row r="1373" spans="6:8">
      <c r="F1373" s="1"/>
      <c r="H1373" s="2"/>
    </row>
    <row r="1374" spans="6:8">
      <c r="F1374" s="1"/>
    </row>
    <row r="1375" spans="6:8">
      <c r="F1375" s="1"/>
    </row>
    <row r="1376" spans="6:8">
      <c r="F1376" s="1"/>
      <c r="H1376" s="2"/>
    </row>
    <row r="1377" spans="6:8">
      <c r="F1377" s="1"/>
    </row>
    <row r="1378" spans="6:8">
      <c r="F1378" s="1"/>
      <c r="H1378" s="2"/>
    </row>
    <row r="1379" spans="6:8">
      <c r="F1379" s="1"/>
    </row>
    <row r="1380" spans="6:8">
      <c r="F1380" s="1"/>
      <c r="H1380" s="2"/>
    </row>
    <row r="1381" spans="6:8">
      <c r="F1381" s="1"/>
      <c r="H1381" s="2"/>
    </row>
    <row r="1382" spans="6:8">
      <c r="F1382" s="1"/>
      <c r="H1382" s="2"/>
    </row>
    <row r="1383" spans="6:8">
      <c r="F1383" s="1"/>
      <c r="H1383" s="2"/>
    </row>
    <row r="1384" spans="6:8">
      <c r="F1384" s="1"/>
    </row>
    <row r="1385" spans="6:8">
      <c r="F1385" s="1"/>
      <c r="H1385" s="2"/>
    </row>
    <row r="1386" spans="6:8">
      <c r="F1386" s="1"/>
      <c r="H1386" s="2"/>
    </row>
    <row r="1387" spans="6:8">
      <c r="F1387" s="1"/>
      <c r="H1387" s="2"/>
    </row>
    <row r="1388" spans="6:8">
      <c r="F1388" s="1"/>
      <c r="H1388" s="2"/>
    </row>
    <row r="1389" spans="6:8">
      <c r="F1389" s="1"/>
      <c r="H1389" s="2"/>
    </row>
    <row r="1390" spans="6:8">
      <c r="F1390" s="1"/>
      <c r="H1390" s="2"/>
    </row>
    <row r="1391" spans="6:8">
      <c r="F1391" s="1"/>
      <c r="H1391" s="2"/>
    </row>
    <row r="1392" spans="6:8">
      <c r="F1392" s="1"/>
    </row>
    <row r="1393" spans="6:8">
      <c r="F1393" s="1"/>
    </row>
    <row r="1394" spans="6:8">
      <c r="F1394" s="1"/>
      <c r="H1394" s="2"/>
    </row>
    <row r="1395" spans="6:8">
      <c r="F1395" s="1"/>
      <c r="H1395" s="2"/>
    </row>
    <row r="1396" spans="6:8">
      <c r="F1396" s="1"/>
    </row>
    <row r="1397" spans="6:8">
      <c r="F1397" s="1"/>
    </row>
    <row r="1398" spans="6:8">
      <c r="F1398" s="1"/>
      <c r="H1398" s="2"/>
    </row>
    <row r="1399" spans="6:8">
      <c r="F1399" s="1"/>
      <c r="H1399" s="2"/>
    </row>
    <row r="1400" spans="6:8">
      <c r="F1400" s="1"/>
      <c r="H1400" s="2"/>
    </row>
    <row r="1401" spans="6:8">
      <c r="F1401" s="1"/>
    </row>
    <row r="1402" spans="6:8">
      <c r="F1402" s="1"/>
      <c r="H1402" s="2"/>
    </row>
    <row r="1403" spans="6:8">
      <c r="F1403" s="1"/>
      <c r="H1403" s="2"/>
    </row>
    <row r="1404" spans="6:8">
      <c r="F1404" s="1"/>
      <c r="H1404" s="2"/>
    </row>
    <row r="1405" spans="6:8">
      <c r="F1405" s="1"/>
      <c r="H1405" s="2"/>
    </row>
    <row r="1406" spans="6:8">
      <c r="F1406" s="1"/>
    </row>
    <row r="1407" spans="6:8">
      <c r="F1407" s="1"/>
      <c r="H1407" s="2"/>
    </row>
    <row r="1408" spans="6:8">
      <c r="F1408" s="1"/>
      <c r="H1408" s="2"/>
    </row>
    <row r="1409" spans="6:8">
      <c r="F1409" s="1"/>
      <c r="H1409" s="2"/>
    </row>
    <row r="1410" spans="6:8">
      <c r="F1410" s="1"/>
      <c r="H1410" s="2"/>
    </row>
    <row r="1411" spans="6:8">
      <c r="F1411" s="1"/>
      <c r="H1411" s="2"/>
    </row>
    <row r="1412" spans="6:8">
      <c r="F1412" s="1"/>
      <c r="H1412" s="2"/>
    </row>
    <row r="1413" spans="6:8">
      <c r="F1413" s="1"/>
      <c r="H1413" s="2"/>
    </row>
    <row r="1414" spans="6:8">
      <c r="F1414" s="1"/>
      <c r="H1414" s="2"/>
    </row>
    <row r="1415" spans="6:8">
      <c r="F1415" s="1"/>
      <c r="H1415" s="2"/>
    </row>
    <row r="1416" spans="6:8">
      <c r="F1416" s="1"/>
      <c r="H1416" s="2"/>
    </row>
    <row r="1417" spans="6:8">
      <c r="F1417" s="1"/>
    </row>
    <row r="1418" spans="6:8">
      <c r="F1418" s="1"/>
    </row>
    <row r="1419" spans="6:8">
      <c r="F1419" s="1"/>
      <c r="H1419" s="2"/>
    </row>
    <row r="1420" spans="6:8">
      <c r="F1420" s="1"/>
    </row>
    <row r="1421" spans="6:8">
      <c r="F1421" s="1"/>
    </row>
    <row r="1422" spans="6:8">
      <c r="F1422" s="1"/>
      <c r="H1422" s="2"/>
    </row>
    <row r="1423" spans="6:8">
      <c r="F1423" s="1"/>
      <c r="H1423" s="2"/>
    </row>
    <row r="1424" spans="6:8">
      <c r="F1424" s="1"/>
    </row>
    <row r="1425" spans="6:8">
      <c r="F1425" s="1"/>
    </row>
    <row r="1426" spans="6:8">
      <c r="F1426" s="1"/>
    </row>
    <row r="1427" spans="6:8">
      <c r="F1427" s="1"/>
      <c r="H1427" s="2"/>
    </row>
    <row r="1428" spans="6:8">
      <c r="F1428" s="1"/>
      <c r="H1428" s="2"/>
    </row>
    <row r="1429" spans="6:8">
      <c r="F1429" s="1"/>
      <c r="H1429" s="2"/>
    </row>
    <row r="1430" spans="6:8">
      <c r="F1430" s="1"/>
      <c r="H1430" s="2"/>
    </row>
    <row r="1431" spans="6:8">
      <c r="F1431" s="1"/>
      <c r="H1431" s="2"/>
    </row>
    <row r="1432" spans="6:8">
      <c r="F1432" s="1"/>
    </row>
    <row r="1433" spans="6:8">
      <c r="F1433" s="1"/>
      <c r="H1433" s="2"/>
    </row>
    <row r="1434" spans="6:8">
      <c r="F1434" s="1"/>
    </row>
    <row r="1435" spans="6:8">
      <c r="F1435" s="1"/>
    </row>
    <row r="1436" spans="6:8">
      <c r="F1436" s="1"/>
      <c r="H1436" s="2"/>
    </row>
    <row r="1437" spans="6:8">
      <c r="F1437" s="1"/>
      <c r="H1437" s="2"/>
    </row>
    <row r="1438" spans="6:8">
      <c r="F1438" s="1"/>
      <c r="H1438" s="2"/>
    </row>
    <row r="1439" spans="6:8">
      <c r="F1439" s="1"/>
      <c r="H1439" s="2"/>
    </row>
    <row r="1440" spans="6:8">
      <c r="F1440" s="1"/>
    </row>
    <row r="1441" spans="6:8">
      <c r="F1441" s="1"/>
      <c r="H1441" s="2"/>
    </row>
    <row r="1442" spans="6:8">
      <c r="F1442" s="1"/>
      <c r="H1442" s="2"/>
    </row>
    <row r="1443" spans="6:8">
      <c r="F1443" s="1"/>
    </row>
    <row r="1444" spans="6:8">
      <c r="F1444" s="1"/>
      <c r="H1444" s="2"/>
    </row>
    <row r="1445" spans="6:8">
      <c r="F1445" s="1"/>
    </row>
    <row r="1446" spans="6:8">
      <c r="F1446" s="1"/>
      <c r="H1446" s="2"/>
    </row>
    <row r="1447" spans="6:8">
      <c r="F1447" s="1"/>
      <c r="H1447" s="2"/>
    </row>
    <row r="1448" spans="6:8">
      <c r="F1448" s="1"/>
      <c r="H1448" s="2"/>
    </row>
    <row r="1449" spans="6:8">
      <c r="F1449" s="1"/>
      <c r="H1449" s="2"/>
    </row>
    <row r="1450" spans="6:8">
      <c r="F1450" s="1"/>
      <c r="H1450" s="2"/>
    </row>
    <row r="1451" spans="6:8">
      <c r="F1451" s="1"/>
      <c r="H1451" s="2"/>
    </row>
    <row r="1452" spans="6:8">
      <c r="F1452" s="1"/>
    </row>
    <row r="1453" spans="6:8">
      <c r="F1453" s="1"/>
      <c r="H1453" s="2"/>
    </row>
    <row r="1454" spans="6:8">
      <c r="F1454" s="1"/>
      <c r="H1454" s="2"/>
    </row>
    <row r="1455" spans="6:8">
      <c r="F1455" s="1"/>
      <c r="H1455" s="2"/>
    </row>
    <row r="1456" spans="6:8">
      <c r="F1456" s="1"/>
    </row>
    <row r="1457" spans="6:8">
      <c r="F1457" s="1"/>
    </row>
    <row r="1458" spans="6:8">
      <c r="F1458" s="1"/>
      <c r="H1458" s="2"/>
    </row>
    <row r="1459" spans="6:8">
      <c r="F1459" s="1"/>
      <c r="H1459" s="2"/>
    </row>
    <row r="1460" spans="6:8">
      <c r="F1460" s="1"/>
      <c r="H1460" s="2"/>
    </row>
    <row r="1461" spans="6:8">
      <c r="F1461" s="1"/>
      <c r="H1461" s="2"/>
    </row>
    <row r="1462" spans="6:8">
      <c r="F1462" s="1"/>
    </row>
    <row r="1463" spans="6:8">
      <c r="F1463" s="1"/>
    </row>
    <row r="1464" spans="6:8">
      <c r="F1464" s="1"/>
    </row>
    <row r="1465" spans="6:8">
      <c r="F1465" s="1"/>
      <c r="H1465" s="2"/>
    </row>
    <row r="1466" spans="6:8">
      <c r="F1466" s="1"/>
      <c r="H1466" s="2"/>
    </row>
  </sheetData>
  <sortState xmlns:xlrd2="http://schemas.microsoft.com/office/spreadsheetml/2017/richdata2" ref="A2:Q1467">
    <sortCondition ref="Q2:Q1467"/>
  </sortState>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4F679-5233-4611-85B1-2D14C92FB0BD}">
  <dimension ref="A1:B5"/>
  <sheetViews>
    <sheetView workbookViewId="0">
      <selection activeCell="B2" sqref="B2:B5"/>
    </sheetView>
  </sheetViews>
  <sheetFormatPr defaultRowHeight="14.4"/>
  <sheetData>
    <row r="1" spans="1:2">
      <c r="A1" t="s">
        <v>1244</v>
      </c>
      <c r="B1" t="s">
        <v>1245</v>
      </c>
    </row>
    <row r="2" spans="1:2">
      <c r="A2" t="s">
        <v>1246</v>
      </c>
      <c r="B2">
        <f>COUNTIF('partner readiness score'!AD:AD,"Approve")</f>
        <v>57</v>
      </c>
    </row>
    <row r="3" spans="1:2">
      <c r="A3" t="s">
        <v>1247</v>
      </c>
      <c r="B3">
        <f>COUNTIF('partner readiness score'!AD:AD,"Request Revision")</f>
        <v>34</v>
      </c>
    </row>
    <row r="4" spans="1:2">
      <c r="A4" t="s">
        <v>1248</v>
      </c>
      <c r="B4" s="6">
        <f>COUNTIF('partner readiness score'!AD:AD,"Escalate to Sr. Analyst")</f>
        <v>9</v>
      </c>
    </row>
    <row r="5" spans="1:2">
      <c r="A5" t="s">
        <v>1249</v>
      </c>
      <c r="B5">
        <f>SUM(B2:B4)</f>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partner readiness score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Shama_Innodata</dc:creator>
  <cp:lastModifiedBy>Shama Kolhar</cp:lastModifiedBy>
  <dcterms:created xsi:type="dcterms:W3CDTF">2026-05-10T14:58:49Z</dcterms:created>
  <dcterms:modified xsi:type="dcterms:W3CDTF">2026-05-10T20:22:36Z</dcterms:modified>
</cp:coreProperties>
</file>